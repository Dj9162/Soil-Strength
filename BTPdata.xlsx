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-C++ programmes\"/>
    </mc:Choice>
  </mc:AlternateContent>
  <xr:revisionPtr revIDLastSave="0" documentId="13_ncr:1_{79FD1950-C157-4E25-A080-455F48AEDC03}" xr6:coauthVersionLast="47" xr6:coauthVersionMax="47" xr10:uidLastSave="{00000000-0000-0000-0000-000000000000}"/>
  <bookViews>
    <workbookView xWindow="-108" yWindow="-108" windowWidth="23256" windowHeight="12456" activeTab="1" xr2:uid="{F82D9929-DF73-458D-8FE2-0216DE29C8AC}"/>
  </bookViews>
  <sheets>
    <sheet name="SB=0" sheetId="1" r:id="rId1"/>
    <sheet name="SB=1" sheetId="2" r:id="rId2"/>
    <sheet name="SB=2" sheetId="3" r:id="rId3"/>
    <sheet name="SB=3" sheetId="4" r:id="rId4"/>
    <sheet name="Table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5" l="1"/>
  <c r="A6" i="5"/>
  <c r="A7" i="5"/>
  <c r="A8" i="5"/>
  <c r="A9" i="5"/>
  <c r="A10" i="5"/>
  <c r="A11" i="5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4" i="5"/>
  <c r="A3" i="5"/>
  <c r="G381" i="5"/>
  <c r="G380" i="5"/>
  <c r="G379" i="5"/>
  <c r="G256" i="5"/>
  <c r="G255" i="5"/>
  <c r="G254" i="5"/>
  <c r="G131" i="5"/>
  <c r="G130" i="5"/>
  <c r="G129" i="5"/>
  <c r="G6" i="5"/>
  <c r="G5" i="5"/>
  <c r="G4" i="5"/>
  <c r="H8" i="1"/>
  <c r="H7" i="1"/>
  <c r="H6" i="1"/>
</calcChain>
</file>

<file path=xl/sharedStrings.xml><?xml version="1.0" encoding="utf-8"?>
<sst xmlns="http://schemas.openxmlformats.org/spreadsheetml/2006/main" count="835" uniqueCount="21">
  <si>
    <t>slope angle = 0</t>
  </si>
  <si>
    <t>friction angle</t>
  </si>
  <si>
    <t>Nc</t>
  </si>
  <si>
    <t>Nq</t>
  </si>
  <si>
    <t>Ny</t>
  </si>
  <si>
    <t>c = 10kpa</t>
  </si>
  <si>
    <t>slope angle = 20</t>
  </si>
  <si>
    <t>slope angle = 10</t>
  </si>
  <si>
    <t>slope angle = 30</t>
  </si>
  <si>
    <t>slope angle = 40</t>
  </si>
  <si>
    <t>Chakraborty and Mahesh (2015)</t>
  </si>
  <si>
    <t>Present Study</t>
  </si>
  <si>
    <t>NA</t>
  </si>
  <si>
    <t>F_angle = 5</t>
  </si>
  <si>
    <t>F_angle = 10</t>
  </si>
  <si>
    <t>F_angle = 15</t>
  </si>
  <si>
    <t>F_angle = 20</t>
  </si>
  <si>
    <t>S.No:</t>
  </si>
  <si>
    <t>S/B</t>
  </si>
  <si>
    <t>slope angle</t>
  </si>
  <si>
    <t>Force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</si>
</sst>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  <a:r>
              <a:rPr lang="en-IN" baseline="0"/>
              <a:t> Angle = 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Table!$E$2:$E$6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Table!$F$2:$F$6</c:f>
              <c:numCache>
                <c:formatCode>General</c:formatCode>
                <c:ptCount val="5"/>
                <c:pt idx="0">
                  <c:v>4.9782999999999999</c:v>
                </c:pt>
                <c:pt idx="1">
                  <c:v>8.14</c:v>
                </c:pt>
                <c:pt idx="2">
                  <c:v>14.552300000000001</c:v>
                </c:pt>
                <c:pt idx="3">
                  <c:v>29.528400000000001</c:v>
                </c:pt>
                <c:pt idx="4">
                  <c:v>73.069100000000006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06-4E87-9CCD-9885A2053138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Table!$F$7:$F$11</c:f>
              <c:numCache>
                <c:formatCode>General</c:formatCode>
                <c:ptCount val="5"/>
                <c:pt idx="0">
                  <c:v>4.4984000000000002</c:v>
                </c:pt>
                <c:pt idx="1">
                  <c:v>7.2698999999999998</c:v>
                </c:pt>
                <c:pt idx="2">
                  <c:v>12.763299999999999</c:v>
                </c:pt>
                <c:pt idx="3">
                  <c:v>25.369299999999999</c:v>
                </c:pt>
                <c:pt idx="4">
                  <c:v>61.029000000000003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06-4E87-9CCD-9885A2053138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Table!$F$12:$F$16</c:f>
              <c:numCache>
                <c:formatCode>General</c:formatCode>
                <c:ptCount val="5"/>
                <c:pt idx="0">
                  <c:v>3.9363000000000001</c:v>
                </c:pt>
                <c:pt idx="1">
                  <c:v>6.3010999999999999</c:v>
                </c:pt>
                <c:pt idx="2">
                  <c:v>10.8926</c:v>
                </c:pt>
                <c:pt idx="3">
                  <c:v>21.150099999999998</c:v>
                </c:pt>
                <c:pt idx="4">
                  <c:v>49.336599999999997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06-4E87-9CCD-9885A2053138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Table!$F$17:$F$21</c:f>
              <c:numCache>
                <c:formatCode>General</c:formatCode>
                <c:ptCount val="5"/>
                <c:pt idx="0">
                  <c:v>3.3281999999999998</c:v>
                </c:pt>
                <c:pt idx="1">
                  <c:v>5.2998000000000003</c:v>
                </c:pt>
                <c:pt idx="2">
                  <c:v>9.0496999999999996</c:v>
                </c:pt>
                <c:pt idx="3">
                  <c:v>17.226099999999999</c:v>
                </c:pt>
                <c:pt idx="4">
                  <c:v>38.8919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06-4E87-9CCD-9885A2053138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Table!$F$22:$F$26</c:f>
              <c:numCache>
                <c:formatCode>General</c:formatCode>
                <c:ptCount val="5"/>
                <c:pt idx="0">
                  <c:v>2.7081</c:v>
                </c:pt>
                <c:pt idx="1">
                  <c:v>4.3150000000000004</c:v>
                </c:pt>
                <c:pt idx="2">
                  <c:v>7.3061999999999996</c:v>
                </c:pt>
                <c:pt idx="3">
                  <c:v>13.6746</c:v>
                </c:pt>
                <c:pt idx="4">
                  <c:v>30.049600000000002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06-4E87-9CCD-9885A2053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833663"/>
        <c:axId val="781777807"/>
      </c:lineChart>
      <c:catAx>
        <c:axId val="72783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Friction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77807"/>
        <c:crosses val="autoZero"/>
        <c:auto val="1"/>
        <c:lblAlgn val="ctr"/>
        <c:lblOffset val="100"/>
        <c:noMultiLvlLbl val="0"/>
      </c:catAx>
      <c:valAx>
        <c:axId val="78177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3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 Angle</a:t>
            </a:r>
            <a:r>
              <a:rPr lang="en-IN" baseline="0"/>
              <a:t> = 10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Table!$E$37:$E$41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Table!$F$27:$F$31</c:f>
              <c:numCache>
                <c:formatCode>General</c:formatCode>
                <c:ptCount val="5"/>
                <c:pt idx="0">
                  <c:v>4.6284999999999998</c:v>
                </c:pt>
                <c:pt idx="1">
                  <c:v>7.3047000000000004</c:v>
                </c:pt>
                <c:pt idx="2">
                  <c:v>12.4849</c:v>
                </c:pt>
                <c:pt idx="3">
                  <c:v>23.842700000000001</c:v>
                </c:pt>
                <c:pt idx="4">
                  <c:v>57.225099999999998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1-4209-BA29-CCA8A7B83D1A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Table!$E$37:$E$41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Table!$F$32:$F$36</c:f>
              <c:numCache>
                <c:formatCode>General</c:formatCode>
                <c:ptCount val="5"/>
                <c:pt idx="0">
                  <c:v>4.1874000000000002</c:v>
                </c:pt>
                <c:pt idx="1">
                  <c:v>6.5338000000000003</c:v>
                </c:pt>
                <c:pt idx="2">
                  <c:v>10.943199999999999</c:v>
                </c:pt>
                <c:pt idx="3">
                  <c:v>20.409099999999999</c:v>
                </c:pt>
                <c:pt idx="4">
                  <c:v>46.089799999999997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1-4209-BA29-CCA8A7B83D1A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Table!$E$37:$E$41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Table!$F$37:$F$41</c:f>
              <c:numCache>
                <c:formatCode>General</c:formatCode>
                <c:ptCount val="5"/>
                <c:pt idx="0">
                  <c:v>3.6869999999999998</c:v>
                </c:pt>
                <c:pt idx="1">
                  <c:v>5.6833999999999998</c:v>
                </c:pt>
                <c:pt idx="2">
                  <c:v>9.3582000000000001</c:v>
                </c:pt>
                <c:pt idx="3">
                  <c:v>17.048400000000001</c:v>
                </c:pt>
                <c:pt idx="4">
                  <c:v>36.545999999999999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1-4209-BA29-CCA8A7B83D1A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Table!$E$37:$E$41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Table!$F$42:$F$46</c:f>
              <c:numCache>
                <c:formatCode>General</c:formatCode>
                <c:ptCount val="5"/>
                <c:pt idx="0">
                  <c:v>3.1509999999999998</c:v>
                </c:pt>
                <c:pt idx="1">
                  <c:v>4.8102999999999998</c:v>
                </c:pt>
                <c:pt idx="2">
                  <c:v>7.8009000000000004</c:v>
                </c:pt>
                <c:pt idx="3">
                  <c:v>13.8924</c:v>
                </c:pt>
                <c:pt idx="4">
                  <c:v>28.717400000000001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1-4209-BA29-CCA8A7B83D1A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Table!$E$37:$E$41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Table!$F$47:$F$51</c:f>
              <c:numCache>
                <c:formatCode>General</c:formatCode>
                <c:ptCount val="5"/>
                <c:pt idx="0">
                  <c:v>2.6334</c:v>
                </c:pt>
                <c:pt idx="1">
                  <c:v>3.9861</c:v>
                </c:pt>
                <c:pt idx="2">
                  <c:v>6.3766999999999996</c:v>
                </c:pt>
                <c:pt idx="3">
                  <c:v>11.1264</c:v>
                </c:pt>
                <c:pt idx="4">
                  <c:v>22.330200000000001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61-4209-BA29-CCA8A7B83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835103"/>
        <c:axId val="737083759"/>
      </c:lineChart>
      <c:catAx>
        <c:axId val="727835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Friction</a:t>
                </a:r>
                <a:r>
                  <a:rPr lang="en-IN" baseline="0"/>
                  <a:t> 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83759"/>
        <c:crosses val="autoZero"/>
        <c:auto val="1"/>
        <c:lblAlgn val="ctr"/>
        <c:lblOffset val="100"/>
        <c:noMultiLvlLbl val="0"/>
      </c:catAx>
      <c:valAx>
        <c:axId val="7370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3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 Angle</a:t>
            </a:r>
            <a:r>
              <a:rPr lang="en-IN" baseline="0"/>
              <a:t> = 20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Table!$F$52:$F$56</c:f>
              <c:numCache>
                <c:formatCode>General</c:formatCode>
                <c:ptCount val="5"/>
                <c:pt idx="0">
                  <c:v>4.2808999999999999</c:v>
                </c:pt>
                <c:pt idx="1">
                  <c:v>6.5370999999999997</c:v>
                </c:pt>
                <c:pt idx="2">
                  <c:v>10.642099999999999</c:v>
                </c:pt>
                <c:pt idx="3">
                  <c:v>19.2028</c:v>
                </c:pt>
                <c:pt idx="4">
                  <c:v>40.983899999999998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0-4810-9225-B84AC4BED64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Table!$F$57:$F$61</c:f>
              <c:numCache>
                <c:formatCode>General</c:formatCode>
                <c:ptCount val="5"/>
                <c:pt idx="0">
                  <c:v>3.8803000000000001</c:v>
                </c:pt>
                <c:pt idx="1">
                  <c:v>5.8428000000000004</c:v>
                </c:pt>
                <c:pt idx="2">
                  <c:v>9.3533000000000008</c:v>
                </c:pt>
                <c:pt idx="3">
                  <c:v>16.423400000000001</c:v>
                </c:pt>
                <c:pt idx="4">
                  <c:v>33.445500000000003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0-4810-9225-B84AC4BED64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Table!$F$62:$F$66</c:f>
              <c:numCache>
                <c:formatCode>General</c:formatCode>
                <c:ptCount val="5"/>
                <c:pt idx="0">
                  <c:v>3.4340000000000002</c:v>
                </c:pt>
                <c:pt idx="1">
                  <c:v>5.0987</c:v>
                </c:pt>
                <c:pt idx="2">
                  <c:v>8.0153999999999996</c:v>
                </c:pt>
                <c:pt idx="3">
                  <c:v>13.7309</c:v>
                </c:pt>
                <c:pt idx="4">
                  <c:v>27.064900000000002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C0-4810-9225-B84AC4BED64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Table!$F$67:$F$71</c:f>
              <c:numCache>
                <c:formatCode>General</c:formatCode>
                <c:ptCount val="5"/>
                <c:pt idx="0">
                  <c:v>2.9712999999999998</c:v>
                </c:pt>
                <c:pt idx="1">
                  <c:v>4.3574000000000002</c:v>
                </c:pt>
                <c:pt idx="2">
                  <c:v>6.7275</c:v>
                </c:pt>
                <c:pt idx="3">
                  <c:v>11.266999999999999</c:v>
                </c:pt>
                <c:pt idx="4">
                  <c:v>21.462199999999999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C0-4810-9225-B84AC4BED64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Table!$F$72:$F$76</c:f>
              <c:numCache>
                <c:formatCode>General</c:formatCode>
                <c:ptCount val="5"/>
                <c:pt idx="0">
                  <c:v>2.5211999999999999</c:v>
                </c:pt>
                <c:pt idx="1">
                  <c:v>3.6507000000000001</c:v>
                </c:pt>
                <c:pt idx="2">
                  <c:v>5.5396999999999998</c:v>
                </c:pt>
                <c:pt idx="3">
                  <c:v>9.0701000000000001</c:v>
                </c:pt>
                <c:pt idx="4">
                  <c:v>16.723299999999998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C0-4810-9225-B84AC4BED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825983"/>
        <c:axId val="781775327"/>
      </c:lineChart>
      <c:catAx>
        <c:axId val="727825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Friction</a:t>
                </a:r>
                <a:r>
                  <a:rPr lang="en-IN" baseline="0"/>
                  <a:t> 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75327"/>
        <c:crosses val="autoZero"/>
        <c:auto val="1"/>
        <c:lblAlgn val="ctr"/>
        <c:lblOffset val="100"/>
        <c:noMultiLvlLbl val="0"/>
      </c:catAx>
      <c:valAx>
        <c:axId val="7817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2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 Angle</a:t>
            </a:r>
            <a:r>
              <a:rPr lang="en-IN" baseline="0"/>
              <a:t> = 30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Table!$E$97:$E$101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Table!$F$77:$F$81</c:f>
              <c:numCache>
                <c:formatCode>General</c:formatCode>
                <c:ptCount val="5"/>
                <c:pt idx="0">
                  <c:v>3.9159999999999999</c:v>
                </c:pt>
                <c:pt idx="1">
                  <c:v>5.7919999999999998</c:v>
                </c:pt>
                <c:pt idx="2">
                  <c:v>9.0089000000000006</c:v>
                </c:pt>
                <c:pt idx="3">
                  <c:v>15.270099999999999</c:v>
                </c:pt>
                <c:pt idx="4">
                  <c:v>29.729500000000002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A-4C9A-B431-D4D18C5A4E7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Table!$E$97:$E$101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Table!$F$82:$F$86</c:f>
              <c:numCache>
                <c:formatCode>General</c:formatCode>
                <c:ptCount val="5"/>
                <c:pt idx="0">
                  <c:v>3.5655000000000001</c:v>
                </c:pt>
                <c:pt idx="1">
                  <c:v>5.1818999999999997</c:v>
                </c:pt>
                <c:pt idx="2">
                  <c:v>7.9298000000000002</c:v>
                </c:pt>
                <c:pt idx="3">
                  <c:v>13.117599999999999</c:v>
                </c:pt>
                <c:pt idx="4">
                  <c:v>24.665400000000002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A-4C9A-B431-D4D18C5A4E7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Table!$E$97:$E$101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Table!$F$87:$F$91</c:f>
              <c:numCache>
                <c:formatCode>General</c:formatCode>
                <c:ptCount val="5"/>
                <c:pt idx="0">
                  <c:v>3.1648000000000001</c:v>
                </c:pt>
                <c:pt idx="1">
                  <c:v>4.5392000000000001</c:v>
                </c:pt>
                <c:pt idx="2">
                  <c:v>6.8087</c:v>
                </c:pt>
                <c:pt idx="3">
                  <c:v>11.006399999999999</c:v>
                </c:pt>
                <c:pt idx="4">
                  <c:v>19.971900000000002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A-4C9A-B431-D4D18C5A4E7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Table!$E$97:$E$101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Table!$F$92:$F$96</c:f>
              <c:numCache>
                <c:formatCode>General</c:formatCode>
                <c:ptCount val="5"/>
                <c:pt idx="0">
                  <c:v>2.7696000000000001</c:v>
                </c:pt>
                <c:pt idx="1">
                  <c:v>3.9079999999999999</c:v>
                </c:pt>
                <c:pt idx="2">
                  <c:v>5.7504</c:v>
                </c:pt>
                <c:pt idx="3">
                  <c:v>9.0643999999999991</c:v>
                </c:pt>
                <c:pt idx="4">
                  <c:v>15.8469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A-4C9A-B431-D4D18C5A4E7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Table!$E$97:$E$101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Table!$F$97:$F$101</c:f>
              <c:numCache>
                <c:formatCode>General</c:formatCode>
                <c:ptCount val="5"/>
                <c:pt idx="0">
                  <c:v>2.7696000000000001</c:v>
                </c:pt>
                <c:pt idx="1">
                  <c:v>3.9079000000000002</c:v>
                </c:pt>
                <c:pt idx="2">
                  <c:v>5.7502000000000004</c:v>
                </c:pt>
                <c:pt idx="3">
                  <c:v>9.0642999999999994</c:v>
                </c:pt>
                <c:pt idx="4">
                  <c:v>15.8474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A-4C9A-B431-D4D18C5A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1183"/>
        <c:axId val="946770207"/>
      </c:lineChart>
      <c:catAx>
        <c:axId val="88457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Friction</a:t>
                </a:r>
                <a:r>
                  <a:rPr lang="en-IN" baseline="0"/>
                  <a:t> 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70207"/>
        <c:crosses val="autoZero"/>
        <c:auto val="1"/>
        <c:lblAlgn val="ctr"/>
        <c:lblOffset val="100"/>
        <c:noMultiLvlLbl val="0"/>
      </c:catAx>
      <c:valAx>
        <c:axId val="9467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  <a:r>
              <a:rPr lang="en-IN" baseline="0"/>
              <a:t> Angle = 40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Table!$E$122:$E$126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Table!$F$102:$F$106</c:f>
              <c:numCache>
                <c:formatCode>General</c:formatCode>
                <c:ptCount val="5"/>
                <c:pt idx="0">
                  <c:v>3.5739000000000001</c:v>
                </c:pt>
                <c:pt idx="1">
                  <c:v>5.0970000000000004</c:v>
                </c:pt>
                <c:pt idx="2">
                  <c:v>7.6036000000000001</c:v>
                </c:pt>
                <c:pt idx="3">
                  <c:v>12.162000000000001</c:v>
                </c:pt>
                <c:pt idx="4">
                  <c:v>21.902000000000001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1-4B2A-B29E-FFB993C88907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Table!$E$122:$E$126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Table!$F$107:$F$111</c:f>
              <c:numCache>
                <c:formatCode>General</c:formatCode>
                <c:ptCount val="5"/>
                <c:pt idx="0">
                  <c:v>3.2544</c:v>
                </c:pt>
                <c:pt idx="1">
                  <c:v>4.5762999999999998</c:v>
                </c:pt>
                <c:pt idx="2">
                  <c:v>6.6898</c:v>
                </c:pt>
                <c:pt idx="3">
                  <c:v>10.45</c:v>
                </c:pt>
                <c:pt idx="4">
                  <c:v>18.1252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1-4B2A-B29E-FFB993C88907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Table!$E$122:$E$126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Table!$F$112:$F$116</c:f>
              <c:numCache>
                <c:formatCode>General</c:formatCode>
                <c:ptCount val="5"/>
                <c:pt idx="0">
                  <c:v>2.9064000000000001</c:v>
                </c:pt>
                <c:pt idx="1">
                  <c:v>4.0235000000000003</c:v>
                </c:pt>
                <c:pt idx="2">
                  <c:v>5.7671999999999999</c:v>
                </c:pt>
                <c:pt idx="3">
                  <c:v>8.7856000000000005</c:v>
                </c:pt>
                <c:pt idx="4">
                  <c:v>14.7303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1-4B2A-B29E-FFB993C88907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Table!$E$122:$E$126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Table!$F$117:$F$121</c:f>
              <c:numCache>
                <c:formatCode>General</c:formatCode>
                <c:ptCount val="5"/>
                <c:pt idx="0">
                  <c:v>2.5596000000000001</c:v>
                </c:pt>
                <c:pt idx="1">
                  <c:v>3.4832000000000001</c:v>
                </c:pt>
                <c:pt idx="2">
                  <c:v>4.9002999999999997</c:v>
                </c:pt>
                <c:pt idx="3">
                  <c:v>7.2685000000000004</c:v>
                </c:pt>
                <c:pt idx="4">
                  <c:v>11.7691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81-4B2A-B29E-FFB993C88907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Table!$E$122:$E$126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Table!$F$122:$F$126</c:f>
              <c:numCache>
                <c:formatCode>General</c:formatCode>
                <c:ptCount val="5"/>
                <c:pt idx="0">
                  <c:v>2.2290000000000001</c:v>
                </c:pt>
                <c:pt idx="1">
                  <c:v>2.9822000000000002</c:v>
                </c:pt>
                <c:pt idx="2">
                  <c:v>4.1077000000000004</c:v>
                </c:pt>
                <c:pt idx="3">
                  <c:v>5.9310999999999998</c:v>
                </c:pt>
                <c:pt idx="4">
                  <c:v>9.2498000000000005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81-4B2A-B29E-FFB993C88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796559"/>
        <c:axId val="946755327"/>
      </c:lineChart>
      <c:catAx>
        <c:axId val="77979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Friction</a:t>
                </a:r>
                <a:r>
                  <a:rPr lang="en-IN" baseline="0"/>
                  <a:t> 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55327"/>
        <c:crosses val="autoZero"/>
        <c:auto val="1"/>
        <c:lblAlgn val="ctr"/>
        <c:lblOffset val="100"/>
        <c:noMultiLvlLbl val="0"/>
      </c:catAx>
      <c:valAx>
        <c:axId val="94675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9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Table!$G$2:$G$6</c:f>
              <c:numCache>
                <c:formatCode>General</c:formatCode>
                <c:ptCount val="5"/>
                <c:pt idx="0">
                  <c:v>0.98699999999999999</c:v>
                </c:pt>
                <c:pt idx="1">
                  <c:v>2.5630000000000002</c:v>
                </c:pt>
                <c:pt idx="2">
                  <c:v>6.4770000000000039</c:v>
                </c:pt>
                <c:pt idx="3">
                  <c:v>18.213999999999999</c:v>
                </c:pt>
                <c:pt idx="4">
                  <c:v>61.731999999999971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5-4288-A26E-E870A8D4AEBA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Table!$G$7:$G$11</c:f>
              <c:numCache>
                <c:formatCode>General</c:formatCode>
                <c:ptCount val="5"/>
                <c:pt idx="0">
                  <c:v>0.88900000000000001</c:v>
                </c:pt>
                <c:pt idx="1">
                  <c:v>2.173</c:v>
                </c:pt>
                <c:pt idx="2">
                  <c:v>5.6459999999999999</c:v>
                </c:pt>
                <c:pt idx="3">
                  <c:v>15.584</c:v>
                </c:pt>
                <c:pt idx="4">
                  <c:v>52.65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5-4288-A26E-E870A8D4AEBA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Table!$G$12:$G$16</c:f>
              <c:numCache>
                <c:formatCode>General</c:formatCode>
                <c:ptCount val="5"/>
                <c:pt idx="0">
                  <c:v>0.70899999999999996</c:v>
                </c:pt>
                <c:pt idx="1">
                  <c:v>1.8109999999999999</c:v>
                </c:pt>
                <c:pt idx="2">
                  <c:v>4.6130000000000004</c:v>
                </c:pt>
                <c:pt idx="3">
                  <c:v>12.76</c:v>
                </c:pt>
                <c:pt idx="4">
                  <c:v>41.927999999999997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C5-4288-A26E-E870A8D4AEBA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Table!$G$17:$G$21</c:f>
              <c:numCache>
                <c:formatCode>General</c:formatCode>
                <c:ptCount val="5"/>
                <c:pt idx="0">
                  <c:v>0.48399999999999999</c:v>
                </c:pt>
                <c:pt idx="1">
                  <c:v>1.387</c:v>
                </c:pt>
                <c:pt idx="2">
                  <c:v>3.7749999999999999</c:v>
                </c:pt>
                <c:pt idx="3">
                  <c:v>10.308999999999999</c:v>
                </c:pt>
                <c:pt idx="4">
                  <c:v>33.006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C5-4288-A26E-E870A8D4AEBA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Table!$G$22:$G$26</c:f>
              <c:numCache>
                <c:formatCode>General</c:formatCode>
                <c:ptCount val="5"/>
                <c:pt idx="0">
                  <c:v>0.187</c:v>
                </c:pt>
                <c:pt idx="1">
                  <c:v>0.96699999999999997</c:v>
                </c:pt>
                <c:pt idx="2">
                  <c:v>2.85</c:v>
                </c:pt>
                <c:pt idx="3">
                  <c:v>8.0679999999999996</c:v>
                </c:pt>
                <c:pt idx="4">
                  <c:v>25.094999999999999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C5-4288-A26E-E870A8D4A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68783"/>
        <c:axId val="775021151"/>
      </c:lineChart>
      <c:catAx>
        <c:axId val="88456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Friction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21151"/>
        <c:crosses val="autoZero"/>
        <c:auto val="1"/>
        <c:lblAlgn val="ctr"/>
        <c:lblOffset val="100"/>
        <c:noMultiLvlLbl val="0"/>
      </c:catAx>
      <c:valAx>
        <c:axId val="7750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6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Table!$E$27:$E$31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Table!$G$27:$G$31</c:f>
              <c:numCache>
                <c:formatCode>General</c:formatCode>
                <c:ptCount val="5"/>
                <c:pt idx="0">
                  <c:v>1.0069999999999999</c:v>
                </c:pt>
                <c:pt idx="1">
                  <c:v>2.4729999999999999</c:v>
                </c:pt>
                <c:pt idx="2">
                  <c:v>5.5720000000000001</c:v>
                </c:pt>
                <c:pt idx="3">
                  <c:v>14.878</c:v>
                </c:pt>
                <c:pt idx="4">
                  <c:v>50.930999999999997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1-4557-88FE-3017BD7EEB6B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Table!$E$27:$E$31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Table!$G$32:$G$36</c:f>
              <c:numCache>
                <c:formatCode>General</c:formatCode>
                <c:ptCount val="5"/>
                <c:pt idx="0">
                  <c:v>0.873</c:v>
                </c:pt>
                <c:pt idx="1">
                  <c:v>2.0179999999999998</c:v>
                </c:pt>
                <c:pt idx="2">
                  <c:v>4.7990000000000004</c:v>
                </c:pt>
                <c:pt idx="3">
                  <c:v>12.582000000000001</c:v>
                </c:pt>
                <c:pt idx="4">
                  <c:v>39.393999999999998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1-4557-88FE-3017BD7EEB6B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Table!$E$27:$E$31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Table!$G$37:$G$41</c:f>
              <c:numCache>
                <c:formatCode>General</c:formatCode>
                <c:ptCount val="5"/>
                <c:pt idx="0">
                  <c:v>0.70499999999999996</c:v>
                </c:pt>
                <c:pt idx="1">
                  <c:v>1.736</c:v>
                </c:pt>
                <c:pt idx="2">
                  <c:v>4.0970000000000004</c:v>
                </c:pt>
                <c:pt idx="3">
                  <c:v>10.567</c:v>
                </c:pt>
                <c:pt idx="4">
                  <c:v>30.661999999999999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1-4557-88FE-3017BD7EEB6B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Table!$E$27:$E$31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Table!$G$42:$G$46</c:f>
              <c:numCache>
                <c:formatCode>General</c:formatCode>
                <c:ptCount val="5"/>
                <c:pt idx="0">
                  <c:v>0.49399999999999999</c:v>
                </c:pt>
                <c:pt idx="1">
                  <c:v>1.337</c:v>
                </c:pt>
                <c:pt idx="2">
                  <c:v>3.3</c:v>
                </c:pt>
                <c:pt idx="3">
                  <c:v>8.4380000000000006</c:v>
                </c:pt>
                <c:pt idx="4">
                  <c:v>24.949000000000002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E1-4557-88FE-3017BD7EEB6B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Table!$E$27:$E$31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Table!$G$47:$G$51</c:f>
              <c:numCache>
                <c:formatCode>General</c:formatCode>
                <c:ptCount val="5"/>
                <c:pt idx="0">
                  <c:v>0.27400000000000002</c:v>
                </c:pt>
                <c:pt idx="1">
                  <c:v>0.95499999999999996</c:v>
                </c:pt>
                <c:pt idx="2">
                  <c:v>2.5459999999999998</c:v>
                </c:pt>
                <c:pt idx="3">
                  <c:v>6.58</c:v>
                </c:pt>
                <c:pt idx="4">
                  <c:v>18.620999999999999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E1-4557-88FE-3017BD7E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797999"/>
        <c:axId val="775028591"/>
      </c:lineChart>
      <c:catAx>
        <c:axId val="77979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28591"/>
        <c:crosses val="autoZero"/>
        <c:auto val="1"/>
        <c:lblAlgn val="ctr"/>
        <c:lblOffset val="100"/>
        <c:noMultiLvlLbl val="0"/>
      </c:catAx>
      <c:valAx>
        <c:axId val="7750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9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Table!$E$72:$E$76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Table!$G$52:$G$56</c:f>
              <c:numCache>
                <c:formatCode>General</c:formatCode>
                <c:ptCount val="5"/>
                <c:pt idx="0">
                  <c:v>0.999</c:v>
                </c:pt>
                <c:pt idx="1">
                  <c:v>2.1840000000000002</c:v>
                </c:pt>
                <c:pt idx="2">
                  <c:v>5.0339999999999998</c:v>
                </c:pt>
                <c:pt idx="3">
                  <c:v>11.863</c:v>
                </c:pt>
                <c:pt idx="4">
                  <c:v>35.49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C-45BD-BB3A-2FA6E5B810C7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Table!$E$72:$E$76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Table!$G$57:$G$61</c:f>
              <c:numCache>
                <c:formatCode>General</c:formatCode>
                <c:ptCount val="5"/>
                <c:pt idx="0">
                  <c:v>0.88100000000000001</c:v>
                </c:pt>
                <c:pt idx="1">
                  <c:v>1.8979999999999999</c:v>
                </c:pt>
                <c:pt idx="2">
                  <c:v>4.2859999999999996</c:v>
                </c:pt>
                <c:pt idx="3">
                  <c:v>10.346</c:v>
                </c:pt>
                <c:pt idx="4">
                  <c:v>29.286000000000001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C-45BD-BB3A-2FA6E5B810C7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Table!$E$72:$E$76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Table!$G$62:$G$66</c:f>
              <c:numCache>
                <c:formatCode>General</c:formatCode>
                <c:ptCount val="5"/>
                <c:pt idx="0">
                  <c:v>0.74</c:v>
                </c:pt>
                <c:pt idx="1">
                  <c:v>1.639</c:v>
                </c:pt>
                <c:pt idx="2">
                  <c:v>3.6179999999999999</c:v>
                </c:pt>
                <c:pt idx="3">
                  <c:v>8.6890000000000001</c:v>
                </c:pt>
                <c:pt idx="4">
                  <c:v>23.495000000000001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9C-45BD-BB3A-2FA6E5B810C7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Table!$E$72:$E$76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Table!$G$67:$G$71</c:f>
              <c:numCache>
                <c:formatCode>General</c:formatCode>
                <c:ptCount val="5"/>
                <c:pt idx="0">
                  <c:v>0.52400000000000002</c:v>
                </c:pt>
                <c:pt idx="1">
                  <c:v>1.3</c:v>
                </c:pt>
                <c:pt idx="2">
                  <c:v>2.9390000000000001</c:v>
                </c:pt>
                <c:pt idx="3">
                  <c:v>6.9379999999999997</c:v>
                </c:pt>
                <c:pt idx="4">
                  <c:v>18.376999999999999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9C-45BD-BB3A-2FA6E5B810C7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Table!$E$72:$E$76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Table!$G$72:$G$76</c:f>
              <c:numCache>
                <c:formatCode>General</c:formatCode>
                <c:ptCount val="5"/>
                <c:pt idx="0">
                  <c:v>0.34799999999999998</c:v>
                </c:pt>
                <c:pt idx="1">
                  <c:v>0.95199999999999996</c:v>
                </c:pt>
                <c:pt idx="2">
                  <c:v>2.27</c:v>
                </c:pt>
                <c:pt idx="3">
                  <c:v>5.4119999999999999</c:v>
                </c:pt>
                <c:pt idx="4">
                  <c:v>14.073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9C-45BD-BB3A-2FA6E5B8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2143"/>
        <c:axId val="630781183"/>
      </c:lineChart>
      <c:catAx>
        <c:axId val="8845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81183"/>
        <c:crosses val="autoZero"/>
        <c:auto val="1"/>
        <c:lblAlgn val="ctr"/>
        <c:lblOffset val="100"/>
        <c:noMultiLvlLbl val="0"/>
      </c:catAx>
      <c:valAx>
        <c:axId val="6307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Table!$G$77:$G$81</c:f>
              <c:numCache>
                <c:formatCode>General</c:formatCode>
                <c:ptCount val="5"/>
                <c:pt idx="0">
                  <c:v>1</c:v>
                </c:pt>
                <c:pt idx="1">
                  <c:v>2.0499999999999998</c:v>
                </c:pt>
                <c:pt idx="2">
                  <c:v>4.3390000000000004</c:v>
                </c:pt>
                <c:pt idx="3">
                  <c:v>9.9589999999999996</c:v>
                </c:pt>
                <c:pt idx="4">
                  <c:v>25.952000000000002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C-4584-971F-35D03BF86EE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Table!$G$82:$G$86</c:f>
              <c:numCache>
                <c:formatCode>General</c:formatCode>
                <c:ptCount val="5"/>
                <c:pt idx="0">
                  <c:v>0.82599999999999996</c:v>
                </c:pt>
                <c:pt idx="1">
                  <c:v>1.8440000000000001</c:v>
                </c:pt>
                <c:pt idx="2">
                  <c:v>3.778</c:v>
                </c:pt>
                <c:pt idx="3">
                  <c:v>8.3819999999999997</c:v>
                </c:pt>
                <c:pt idx="4">
                  <c:v>21.574999999999999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C-4584-971F-35D03BF86EE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Table!$G$87:$G$91</c:f>
              <c:numCache>
                <c:formatCode>General</c:formatCode>
                <c:ptCount val="5"/>
                <c:pt idx="0">
                  <c:v>0.76100000000000001</c:v>
                </c:pt>
                <c:pt idx="1">
                  <c:v>1.52</c:v>
                </c:pt>
                <c:pt idx="2">
                  <c:v>3.2130000000000001</c:v>
                </c:pt>
                <c:pt idx="3">
                  <c:v>7.0140000000000002</c:v>
                </c:pt>
                <c:pt idx="4">
                  <c:v>16.759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C-4584-971F-35D03BF86EE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Table!$G$92:$G$96</c:f>
              <c:numCache>
                <c:formatCode>General</c:formatCode>
                <c:ptCount val="5"/>
                <c:pt idx="0">
                  <c:v>0.59299999999999997</c:v>
                </c:pt>
                <c:pt idx="1">
                  <c:v>1.2390000000000001</c:v>
                </c:pt>
                <c:pt idx="2">
                  <c:v>2.6080000000000001</c:v>
                </c:pt>
                <c:pt idx="3">
                  <c:v>5.673</c:v>
                </c:pt>
                <c:pt idx="4">
                  <c:v>13.651999999999999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0C-4584-971F-35D03BF86EE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Table!$G$97:$G$101</c:f>
              <c:numCache>
                <c:formatCode>General</c:formatCode>
                <c:ptCount val="5"/>
                <c:pt idx="0">
                  <c:v>0.59399999999999997</c:v>
                </c:pt>
                <c:pt idx="1">
                  <c:v>1.2370000000000001</c:v>
                </c:pt>
                <c:pt idx="2">
                  <c:v>2.61</c:v>
                </c:pt>
                <c:pt idx="3">
                  <c:v>5.673</c:v>
                </c:pt>
                <c:pt idx="4">
                  <c:v>13.616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0C-4584-971F-35D03BF86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44031"/>
        <c:axId val="948758335"/>
      </c:lineChart>
      <c:catAx>
        <c:axId val="636344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58335"/>
        <c:crosses val="autoZero"/>
        <c:auto val="1"/>
        <c:lblAlgn val="ctr"/>
        <c:lblOffset val="100"/>
        <c:noMultiLvlLbl val="0"/>
      </c:catAx>
      <c:valAx>
        <c:axId val="9487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Table!$G$102:$G$106</c:f>
              <c:numCache>
                <c:formatCode>General</c:formatCode>
                <c:ptCount val="5"/>
                <c:pt idx="0">
                  <c:v>1.0209999999999999</c:v>
                </c:pt>
                <c:pt idx="1">
                  <c:v>1.9259999999999999</c:v>
                </c:pt>
                <c:pt idx="2">
                  <c:v>3.8</c:v>
                </c:pt>
                <c:pt idx="3">
                  <c:v>8.1029999999999998</c:v>
                </c:pt>
                <c:pt idx="4">
                  <c:v>19.465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6-4070-B19B-0C1A6CEEF2F0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Table!$G$107:$G$111</c:f>
              <c:numCache>
                <c:formatCode>General</c:formatCode>
                <c:ptCount val="5"/>
                <c:pt idx="0">
                  <c:v>0.878</c:v>
                </c:pt>
                <c:pt idx="1">
                  <c:v>1.704</c:v>
                </c:pt>
                <c:pt idx="2">
                  <c:v>3.3159999999999998</c:v>
                </c:pt>
                <c:pt idx="3">
                  <c:v>6.9480000000000004</c:v>
                </c:pt>
                <c:pt idx="4">
                  <c:v>16.550999999999998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6-4070-B19B-0C1A6CEEF2F0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Table!$G$112:$G$116</c:f>
              <c:numCache>
                <c:formatCode>General</c:formatCode>
                <c:ptCount val="5"/>
                <c:pt idx="0">
                  <c:v>0.76400000000000001</c:v>
                </c:pt>
                <c:pt idx="1">
                  <c:v>1.4019999999999999</c:v>
                </c:pt>
                <c:pt idx="2">
                  <c:v>2.827</c:v>
                </c:pt>
                <c:pt idx="3">
                  <c:v>5.7569999999999997</c:v>
                </c:pt>
                <c:pt idx="4">
                  <c:v>13.058999999999999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6-4070-B19B-0C1A6CEEF2F0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Table!$G$117:$G$121</c:f>
              <c:numCache>
                <c:formatCode>General</c:formatCode>
                <c:ptCount val="5"/>
                <c:pt idx="0">
                  <c:v>0.63700000000000001</c:v>
                </c:pt>
                <c:pt idx="1">
                  <c:v>1.2010000000000001</c:v>
                </c:pt>
                <c:pt idx="2">
                  <c:v>2.3260000000000001</c:v>
                </c:pt>
                <c:pt idx="3">
                  <c:v>4.6890000000000001</c:v>
                </c:pt>
                <c:pt idx="4">
                  <c:v>10.172000000000001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F6-4070-B19B-0C1A6CEEF2F0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Table!$G$122:$G$126</c:f>
              <c:numCache>
                <c:formatCode>General</c:formatCode>
                <c:ptCount val="5"/>
                <c:pt idx="0">
                  <c:v>0.42199999999999999</c:v>
                </c:pt>
                <c:pt idx="1">
                  <c:v>0.94599999999999995</c:v>
                </c:pt>
                <c:pt idx="2">
                  <c:v>1.8360000000000001</c:v>
                </c:pt>
                <c:pt idx="3">
                  <c:v>3.657</c:v>
                </c:pt>
                <c:pt idx="4">
                  <c:v>7.8259999999999996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F6-4070-B19B-0C1A6CEEF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35871"/>
        <c:axId val="737085247"/>
      </c:lineChart>
      <c:catAx>
        <c:axId val="6363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85247"/>
        <c:crosses val="autoZero"/>
        <c:auto val="1"/>
        <c:lblAlgn val="ctr"/>
        <c:lblOffset val="100"/>
        <c:noMultiLvlLbl val="0"/>
      </c:catAx>
      <c:valAx>
        <c:axId val="7370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3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Table!$H$2:$H$6</c:f>
              <c:numCache>
                <c:formatCode>General</c:formatCode>
                <c:ptCount val="5"/>
                <c:pt idx="0">
                  <c:v>0</c:v>
                </c:pt>
                <c:pt idx="1">
                  <c:v>1.6020000000000001</c:v>
                </c:pt>
                <c:pt idx="2">
                  <c:v>2.9350000000000001</c:v>
                </c:pt>
                <c:pt idx="3">
                  <c:v>14.13</c:v>
                </c:pt>
                <c:pt idx="4">
                  <c:v>80.325999999999993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E-4F4B-9522-E64D6F9E7A0B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Table!$H$7:$H$11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2.113</c:v>
                </c:pt>
                <c:pt idx="3">
                  <c:v>11.057600000000001</c:v>
                </c:pt>
                <c:pt idx="4">
                  <c:v>61.658000000000001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E-4F4B-9522-E64D6F9E7A0B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Table!$H$12:$H$16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8.1950000000000003</c:v>
                </c:pt>
                <c:pt idx="4">
                  <c:v>44.015999999999998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1E-4F4B-9522-E64D6F9E7A0B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Table!$H$17:$H$21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5.6459999999999999</c:v>
                </c:pt>
                <c:pt idx="4">
                  <c:v>30.029699999999998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1E-4F4B-9522-E64D6F9E7A0B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Table!$E$17:$E$21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Table!$H$22:$H$26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1.9970000000000001</c:v>
                </c:pt>
                <c:pt idx="4">
                  <c:v>19.405000000000001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1E-4F4B-9522-E64D6F9E7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33471"/>
        <c:axId val="775033055"/>
      </c:lineChart>
      <c:catAx>
        <c:axId val="63633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33055"/>
        <c:crosses val="autoZero"/>
        <c:auto val="1"/>
        <c:lblAlgn val="ctr"/>
        <c:lblOffset val="100"/>
        <c:noMultiLvlLbl val="0"/>
      </c:catAx>
      <c:valAx>
        <c:axId val="77503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Table!$E$42:$E$46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Table!$H$27:$H$31</c:f>
              <c:numCache>
                <c:formatCode>General</c:formatCode>
                <c:ptCount val="5"/>
                <c:pt idx="0">
                  <c:v>0</c:v>
                </c:pt>
                <c:pt idx="1">
                  <c:v>5.2499999999999998E-2</c:v>
                </c:pt>
                <c:pt idx="2">
                  <c:v>2.0840000000000001</c:v>
                </c:pt>
                <c:pt idx="3">
                  <c:v>9.2560000000000002</c:v>
                </c:pt>
                <c:pt idx="4">
                  <c:v>48.234000000000002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B-40BB-AFB2-03370BA77CC2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Table!$E$42:$E$46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Table!$H$32:$H$36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7.2869999999999999</c:v>
                </c:pt>
                <c:pt idx="4">
                  <c:v>36.338000000000001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B-40BB-AFB2-03370BA77CC2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Table!$E$42:$E$46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Table!$H$37:$H$41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5.4020000000000001</c:v>
                </c:pt>
                <c:pt idx="4">
                  <c:v>26.213000000000001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B-40BB-AFB2-03370BA77CC2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Table!$E$42:$E$46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Table!$H$42:$H$46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1.6034999999999999</c:v>
                </c:pt>
                <c:pt idx="4">
                  <c:v>17.843499999999999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B-40BB-AFB2-03370BA77CC2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Table!$E$42:$E$46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Table!$H$47:$H$51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0.88911111111111096</c:v>
                </c:pt>
                <c:pt idx="4">
                  <c:v>11.5998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B-40BB-AFB2-03370BA77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18111"/>
        <c:axId val="946773183"/>
      </c:lineChart>
      <c:catAx>
        <c:axId val="63631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73183"/>
        <c:crosses val="autoZero"/>
        <c:auto val="1"/>
        <c:lblAlgn val="ctr"/>
        <c:lblOffset val="100"/>
        <c:noMultiLvlLbl val="0"/>
      </c:catAx>
      <c:valAx>
        <c:axId val="94677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1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Table!$H$52:$H$56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0.33779999999999999</c:v>
                </c:pt>
                <c:pt idx="3">
                  <c:v>5.4261499999999998</c:v>
                </c:pt>
                <c:pt idx="4">
                  <c:v>26.9085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E-4F9B-801F-0099392B28E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Table!$H$57:$H$61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4.2969999999999997</c:v>
                </c:pt>
                <c:pt idx="4">
                  <c:v>20.513999999999999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E-4F9B-801F-0099392B28E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Table!$H$62:$H$66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3.2185999999999999</c:v>
                </c:pt>
                <c:pt idx="4">
                  <c:v>14.81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2E-4F9B-801F-0099392B28E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Table!$H$67:$H$71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2.278</c:v>
                </c:pt>
                <c:pt idx="4">
                  <c:v>10.25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2E-4F9B-801F-0099392B28E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Table!$E$67:$E$71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Table!$H$72:$H$76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6.7522000000000002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2E-4F9B-801F-0099392B2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47391"/>
        <c:axId val="946759791"/>
      </c:lineChart>
      <c:catAx>
        <c:axId val="63634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59791"/>
        <c:crosses val="autoZero"/>
        <c:auto val="1"/>
        <c:lblAlgn val="ctr"/>
        <c:lblOffset val="100"/>
        <c:noMultiLvlLbl val="0"/>
      </c:catAx>
      <c:valAx>
        <c:axId val="9467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Table!$E$92:$E$96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Table!$H$77:$H$81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1.512</c:v>
                </c:pt>
                <c:pt idx="4">
                  <c:v>12.913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9-4EC8-B3EC-BCC78219C83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Table!$E$92:$E$96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Table!$H$82:$H$86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1.228</c:v>
                </c:pt>
                <c:pt idx="4">
                  <c:v>9.7591999999999999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9-4EC8-B3EC-BCC78219C83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Table!$E$92:$E$96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Table!$H$87:$H$91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0.58420000000000005</c:v>
                </c:pt>
                <c:pt idx="4">
                  <c:v>7.1710000000000003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9-4EC8-B3EC-BCC78219C83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Table!$E$92:$E$96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Table!$H$92:$H$96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39-4EC8-B3EC-BCC78219C83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Table!$E$92:$E$96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Table!$H$97:$H$101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5.0107699999999999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9-4EC8-B3EC-BCC78219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8383"/>
        <c:axId val="781785743"/>
      </c:lineChart>
      <c:catAx>
        <c:axId val="8845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85743"/>
        <c:crosses val="autoZero"/>
        <c:auto val="1"/>
        <c:lblAlgn val="ctr"/>
        <c:lblOffset val="100"/>
        <c:noMultiLvlLbl val="0"/>
      </c:catAx>
      <c:valAx>
        <c:axId val="7817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Table!$H$102:$H$106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1-46D0-8201-59E52D915A61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Table!$H$107:$H$111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1-46D0-8201-59E52D915A61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Table!$H$112:$H$116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F1-46D0-8201-59E52D915A61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Table!$H$117:$H$121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F1-46D0-8201-59E52D915A61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Table!$E$117:$E$121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Table!$H$122:$H$126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0.48359999999999997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F1-46D0-8201-59E52D915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27231"/>
        <c:axId val="737089711"/>
      </c:lineChart>
      <c:catAx>
        <c:axId val="63632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89711"/>
        <c:crosses val="autoZero"/>
        <c:auto val="1"/>
        <c:lblAlgn val="ctr"/>
        <c:lblOffset val="100"/>
        <c:noMultiLvlLbl val="0"/>
      </c:catAx>
      <c:valAx>
        <c:axId val="73708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2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Table!$F$127:$F$131</c:f>
              <c:numCache>
                <c:formatCode>General</c:formatCode>
                <c:ptCount val="5"/>
                <c:pt idx="0">
                  <c:v>4.9782999999999999</c:v>
                </c:pt>
                <c:pt idx="1">
                  <c:v>8.14</c:v>
                </c:pt>
                <c:pt idx="2">
                  <c:v>14.552300000000001</c:v>
                </c:pt>
                <c:pt idx="3">
                  <c:v>29.528400000000001</c:v>
                </c:pt>
                <c:pt idx="4">
                  <c:v>73.069100000000006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C-41D4-9E85-3F5669EDCD79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Table!$F$132:$F$136</c:f>
              <c:numCache>
                <c:formatCode>General</c:formatCode>
                <c:ptCount val="5"/>
                <c:pt idx="0">
                  <c:v>4.4984000000000002</c:v>
                </c:pt>
                <c:pt idx="1">
                  <c:v>7.2698999999999998</c:v>
                </c:pt>
                <c:pt idx="2">
                  <c:v>12.763299999999999</c:v>
                </c:pt>
                <c:pt idx="3">
                  <c:v>25.369299999999999</c:v>
                </c:pt>
                <c:pt idx="4">
                  <c:v>61.029000000000003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C-41D4-9E85-3F5669EDCD79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Table!$F$137:$F$141</c:f>
              <c:numCache>
                <c:formatCode>General</c:formatCode>
                <c:ptCount val="5"/>
                <c:pt idx="0">
                  <c:v>3.9363000000000001</c:v>
                </c:pt>
                <c:pt idx="1">
                  <c:v>6.3010999999999999</c:v>
                </c:pt>
                <c:pt idx="2">
                  <c:v>10.8926</c:v>
                </c:pt>
                <c:pt idx="3">
                  <c:v>21.150099999999998</c:v>
                </c:pt>
                <c:pt idx="4">
                  <c:v>49.336599999999997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C-41D4-9E85-3F5669EDCD79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Table!$F$142:$F$146</c:f>
              <c:numCache>
                <c:formatCode>General</c:formatCode>
                <c:ptCount val="5"/>
                <c:pt idx="0">
                  <c:v>3.3281999999999998</c:v>
                </c:pt>
                <c:pt idx="1">
                  <c:v>5.2998000000000003</c:v>
                </c:pt>
                <c:pt idx="2">
                  <c:v>9.0496999999999996</c:v>
                </c:pt>
                <c:pt idx="3">
                  <c:v>17.226099999999999</c:v>
                </c:pt>
                <c:pt idx="4">
                  <c:v>38.8919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DC-41D4-9E85-3F5669EDCD79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Table!$F$147:$F$151</c:f>
              <c:numCache>
                <c:formatCode>General</c:formatCode>
                <c:ptCount val="5"/>
                <c:pt idx="0">
                  <c:v>2.7081</c:v>
                </c:pt>
                <c:pt idx="1">
                  <c:v>4.3150000000000004</c:v>
                </c:pt>
                <c:pt idx="2">
                  <c:v>7.3061999999999996</c:v>
                </c:pt>
                <c:pt idx="3">
                  <c:v>13.6746</c:v>
                </c:pt>
                <c:pt idx="4">
                  <c:v>30.049600000000002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DC-41D4-9E85-3F5669EDC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82703"/>
        <c:axId val="630786143"/>
      </c:lineChart>
      <c:catAx>
        <c:axId val="88458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86143"/>
        <c:crosses val="autoZero"/>
        <c:auto val="1"/>
        <c:lblAlgn val="ctr"/>
        <c:lblOffset val="100"/>
        <c:noMultiLvlLbl val="0"/>
      </c:catAx>
      <c:valAx>
        <c:axId val="63078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8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Table!$E$167:$E$171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Table!$F$152:$F$156</c:f>
              <c:numCache>
                <c:formatCode>General</c:formatCode>
                <c:ptCount val="5"/>
                <c:pt idx="0">
                  <c:v>4.9272999999999998</c:v>
                </c:pt>
                <c:pt idx="1">
                  <c:v>7.7988</c:v>
                </c:pt>
                <c:pt idx="2">
                  <c:v>13.2483</c:v>
                </c:pt>
                <c:pt idx="3">
                  <c:v>25.136299999999999</c:v>
                </c:pt>
                <c:pt idx="4">
                  <c:v>56.520899999999997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0-4B38-9B16-28A9A4A9B4A0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Table!$E$167:$E$171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Table!$F$157:$F$161</c:f>
              <c:numCache>
                <c:formatCode>General</c:formatCode>
                <c:ptCount val="5"/>
                <c:pt idx="0">
                  <c:v>4.4801000000000002</c:v>
                </c:pt>
                <c:pt idx="1">
                  <c:v>7.0590000000000002</c:v>
                </c:pt>
                <c:pt idx="2">
                  <c:v>11.808299999999999</c:v>
                </c:pt>
                <c:pt idx="3">
                  <c:v>23.092300000000002</c:v>
                </c:pt>
                <c:pt idx="4">
                  <c:v>50.487000000000002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0-4B38-9B16-28A9A4A9B4A0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Table!$E$167:$E$171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Table!$F$162:$F$166</c:f>
              <c:numCache>
                <c:formatCode>General</c:formatCode>
                <c:ptCount val="5"/>
                <c:pt idx="0">
                  <c:v>3.9253</c:v>
                </c:pt>
                <c:pt idx="1">
                  <c:v>6.2092999999999998</c:v>
                </c:pt>
                <c:pt idx="2">
                  <c:v>10.1852</c:v>
                </c:pt>
                <c:pt idx="3">
                  <c:v>18.538399999999999</c:v>
                </c:pt>
                <c:pt idx="4">
                  <c:v>39.475000000000001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0-4B38-9B16-28A9A4A9B4A0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Table!$E$167:$E$171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Table!$F$167:$F$171</c:f>
              <c:numCache>
                <c:formatCode>General</c:formatCode>
                <c:ptCount val="5"/>
                <c:pt idx="0">
                  <c:v>3.3193000000000001</c:v>
                </c:pt>
                <c:pt idx="1">
                  <c:v>5.2843999999999998</c:v>
                </c:pt>
                <c:pt idx="2">
                  <c:v>8.6237999999999992</c:v>
                </c:pt>
                <c:pt idx="3">
                  <c:v>15.291600000000001</c:v>
                </c:pt>
                <c:pt idx="4">
                  <c:v>31.518699999999999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90-4B38-9B16-28A9A4A9B4A0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Table!$E$167:$E$171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Table!$F$172:$F$176</c:f>
              <c:numCache>
                <c:formatCode>General</c:formatCode>
                <c:ptCount val="5"/>
                <c:pt idx="0">
                  <c:v>2.7040000000000002</c:v>
                </c:pt>
                <c:pt idx="1">
                  <c:v>4.3045999999999998</c:v>
                </c:pt>
                <c:pt idx="2">
                  <c:v>7.1425999999999998</c:v>
                </c:pt>
                <c:pt idx="3">
                  <c:v>12.385400000000001</c:v>
                </c:pt>
                <c:pt idx="4">
                  <c:v>24.685700000000001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90-4B38-9B16-28A9A4A9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50271"/>
        <c:axId val="947068687"/>
      </c:lineChart>
      <c:catAx>
        <c:axId val="6363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68687"/>
        <c:crosses val="autoZero"/>
        <c:auto val="1"/>
        <c:lblAlgn val="ctr"/>
        <c:lblOffset val="100"/>
        <c:noMultiLvlLbl val="0"/>
      </c:catAx>
      <c:valAx>
        <c:axId val="9470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5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Table!$G$127:$G$131</c:f>
              <c:numCache>
                <c:formatCode>General</c:formatCode>
                <c:ptCount val="5"/>
                <c:pt idx="0">
                  <c:v>0.98699999999999999</c:v>
                </c:pt>
                <c:pt idx="1">
                  <c:v>2.5630000000000002</c:v>
                </c:pt>
                <c:pt idx="2">
                  <c:v>6.4770000000000039</c:v>
                </c:pt>
                <c:pt idx="3">
                  <c:v>18.213999999999999</c:v>
                </c:pt>
                <c:pt idx="4">
                  <c:v>61.731999999999971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F-442A-84BB-A5D25340E9D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Table!$G$132:$G$136</c:f>
              <c:numCache>
                <c:formatCode>General</c:formatCode>
                <c:ptCount val="5"/>
                <c:pt idx="0">
                  <c:v>0.88900000000000001</c:v>
                </c:pt>
                <c:pt idx="1">
                  <c:v>2.173</c:v>
                </c:pt>
                <c:pt idx="2">
                  <c:v>5.6459999999999999</c:v>
                </c:pt>
                <c:pt idx="3">
                  <c:v>15.584</c:v>
                </c:pt>
                <c:pt idx="4">
                  <c:v>52.65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F-442A-84BB-A5D25340E9D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Table!$G$137:$G$141</c:f>
              <c:numCache>
                <c:formatCode>General</c:formatCode>
                <c:ptCount val="5"/>
                <c:pt idx="0">
                  <c:v>0.70899999999999996</c:v>
                </c:pt>
                <c:pt idx="1">
                  <c:v>1.8109999999999999</c:v>
                </c:pt>
                <c:pt idx="2">
                  <c:v>4.6130000000000004</c:v>
                </c:pt>
                <c:pt idx="3">
                  <c:v>12.76</c:v>
                </c:pt>
                <c:pt idx="4">
                  <c:v>41.927999999999997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F-442A-84BB-A5D25340E9D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Table!$G$142:$G$146</c:f>
              <c:numCache>
                <c:formatCode>General</c:formatCode>
                <c:ptCount val="5"/>
                <c:pt idx="0">
                  <c:v>0.48399999999999999</c:v>
                </c:pt>
                <c:pt idx="1">
                  <c:v>1.387</c:v>
                </c:pt>
                <c:pt idx="2">
                  <c:v>3.7749999999999999</c:v>
                </c:pt>
                <c:pt idx="3">
                  <c:v>10.308999999999999</c:v>
                </c:pt>
                <c:pt idx="4">
                  <c:v>33.006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F-442A-84BB-A5D25340E9D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Table!$G$147:$G$151</c:f>
              <c:numCache>
                <c:formatCode>General</c:formatCode>
                <c:ptCount val="5"/>
                <c:pt idx="0">
                  <c:v>0.187</c:v>
                </c:pt>
                <c:pt idx="1">
                  <c:v>0.96699999999999997</c:v>
                </c:pt>
                <c:pt idx="2">
                  <c:v>2.85</c:v>
                </c:pt>
                <c:pt idx="3">
                  <c:v>8.0679999999999996</c:v>
                </c:pt>
                <c:pt idx="4">
                  <c:v>25.094999999999999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EF-442A-84BB-A5D25340E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4063"/>
        <c:axId val="946754335"/>
      </c:lineChart>
      <c:catAx>
        <c:axId val="88457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54335"/>
        <c:crosses val="autoZero"/>
        <c:auto val="1"/>
        <c:lblAlgn val="ctr"/>
        <c:lblOffset val="100"/>
        <c:noMultiLvlLbl val="0"/>
      </c:catAx>
      <c:valAx>
        <c:axId val="9467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Table!$H$127:$H$131</c:f>
              <c:numCache>
                <c:formatCode>General</c:formatCode>
                <c:ptCount val="5"/>
                <c:pt idx="0">
                  <c:v>0</c:v>
                </c:pt>
                <c:pt idx="1">
                  <c:v>1.6020000000000001</c:v>
                </c:pt>
                <c:pt idx="2">
                  <c:v>2.9350000000000001</c:v>
                </c:pt>
                <c:pt idx="3">
                  <c:v>14.13</c:v>
                </c:pt>
                <c:pt idx="4">
                  <c:v>80.325999999999993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9-47E9-AC7E-A5F655BE76C8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Table!$H$132:$H$136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2.113</c:v>
                </c:pt>
                <c:pt idx="3">
                  <c:v>11.057600000000001</c:v>
                </c:pt>
                <c:pt idx="4">
                  <c:v>61.658000000000001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9-47E9-AC7E-A5F655BE76C8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Table!$H$137:$H$141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8.1950000000000003</c:v>
                </c:pt>
                <c:pt idx="4">
                  <c:v>44.015999999999998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F9-47E9-AC7E-A5F655BE76C8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Table!$H$142:$H$146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5.6459999999999999</c:v>
                </c:pt>
                <c:pt idx="4">
                  <c:v>30.029699999999998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F9-47E9-AC7E-A5F655BE76C8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Table!$E$142:$E$146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Table!$H$147:$H$151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1.9970000000000001</c:v>
                </c:pt>
                <c:pt idx="4">
                  <c:v>19.405000000000001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F9-47E9-AC7E-A5F655BE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803279"/>
        <c:axId val="781755983"/>
      </c:lineChart>
      <c:catAx>
        <c:axId val="77980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5983"/>
        <c:crosses val="autoZero"/>
        <c:auto val="1"/>
        <c:lblAlgn val="ctr"/>
        <c:lblOffset val="100"/>
        <c:noMultiLvlLbl val="0"/>
      </c:catAx>
      <c:valAx>
        <c:axId val="78175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0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Table!$E$162:$E$166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Table!$G$152:$G$156</c:f>
              <c:numCache>
                <c:formatCode>General</c:formatCode>
                <c:ptCount val="5"/>
                <c:pt idx="0">
                  <c:v>1.002</c:v>
                </c:pt>
                <c:pt idx="1">
                  <c:v>2.508</c:v>
                </c:pt>
                <c:pt idx="2">
                  <c:v>5.8230000000000004</c:v>
                </c:pt>
                <c:pt idx="3">
                  <c:v>15.753</c:v>
                </c:pt>
                <c:pt idx="4">
                  <c:v>50.939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C-406F-9026-05FB5805A1F9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Table!$E$162:$E$166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Table!$G$157:$G$161</c:f>
              <c:numCache>
                <c:formatCode>General</c:formatCode>
                <c:ptCount val="5"/>
                <c:pt idx="0">
                  <c:v>0.93500000000000005</c:v>
                </c:pt>
                <c:pt idx="1">
                  <c:v>2.1469999999999998</c:v>
                </c:pt>
                <c:pt idx="2">
                  <c:v>5.4580000000000002</c:v>
                </c:pt>
                <c:pt idx="3">
                  <c:v>14.01</c:v>
                </c:pt>
                <c:pt idx="4">
                  <c:v>45.917999999999999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C-406F-9026-05FB5805A1F9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Table!$E$162:$E$166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Table!$G$162:$G$166</c:f>
              <c:numCache>
                <c:formatCode>General</c:formatCode>
                <c:ptCount val="5"/>
                <c:pt idx="0">
                  <c:v>0.68799999999999994</c:v>
                </c:pt>
                <c:pt idx="1">
                  <c:v>1.887</c:v>
                </c:pt>
                <c:pt idx="2">
                  <c:v>4.6479999999999997</c:v>
                </c:pt>
                <c:pt idx="3">
                  <c:v>11.044</c:v>
                </c:pt>
                <c:pt idx="4">
                  <c:v>34.627000000000002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C-406F-9026-05FB5805A1F9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Table!$E$162:$E$166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Table!$G$167:$G$171</c:f>
              <c:numCache>
                <c:formatCode>General</c:formatCode>
                <c:ptCount val="5"/>
                <c:pt idx="0">
                  <c:v>0.46300000000000002</c:v>
                </c:pt>
                <c:pt idx="1">
                  <c:v>1.4410000000000001</c:v>
                </c:pt>
                <c:pt idx="2">
                  <c:v>3.5449999999999999</c:v>
                </c:pt>
                <c:pt idx="3">
                  <c:v>9.2170000000000005</c:v>
                </c:pt>
                <c:pt idx="4">
                  <c:v>26.442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6C-406F-9026-05FB5805A1F9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Table!$E$162:$E$166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Table!$G$172:$G$176</c:f>
              <c:numCache>
                <c:formatCode>General</c:formatCode>
                <c:ptCount val="5"/>
                <c:pt idx="0">
                  <c:v>0.11899999999999999</c:v>
                </c:pt>
                <c:pt idx="1">
                  <c:v>0.93700000000000006</c:v>
                </c:pt>
                <c:pt idx="2">
                  <c:v>2.9449999999999998</c:v>
                </c:pt>
                <c:pt idx="3">
                  <c:v>7.2629999999999999</c:v>
                </c:pt>
                <c:pt idx="4">
                  <c:v>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6C-406F-9026-05FB5805A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825023"/>
        <c:axId val="781786239"/>
      </c:lineChart>
      <c:catAx>
        <c:axId val="7278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86239"/>
        <c:crosses val="autoZero"/>
        <c:auto val="1"/>
        <c:lblAlgn val="ctr"/>
        <c:lblOffset val="100"/>
        <c:noMultiLvlLbl val="0"/>
      </c:catAx>
      <c:valAx>
        <c:axId val="78178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Table!$E$172:$E$176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Table!$H$152:$H$156</c:f>
              <c:numCache>
                <c:formatCode>General</c:formatCode>
                <c:ptCount val="5"/>
                <c:pt idx="0">
                  <c:v>0</c:v>
                </c:pt>
                <c:pt idx="1">
                  <c:v>3.5999999999999997E-2</c:v>
                </c:pt>
                <c:pt idx="2">
                  <c:v>1.3320000000000001</c:v>
                </c:pt>
                <c:pt idx="3">
                  <c:v>12.473000000000001</c:v>
                </c:pt>
                <c:pt idx="4">
                  <c:v>62.567999999999998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0-4D4B-BC7B-029959CA098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Table!$E$172:$E$176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Table!$H$157:$H$161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10.0974</c:v>
                </c:pt>
                <c:pt idx="4">
                  <c:v>49.1678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0-4D4B-BC7B-029959CA098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Table!$E$172:$E$176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Table!$H$162:$H$166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7.2569999999999997</c:v>
                </c:pt>
                <c:pt idx="4">
                  <c:v>36.378999999999998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0-4D4B-BC7B-029959CA098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Table!$E$172:$E$176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Table!$H$167:$H$171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5.3419999999999996</c:v>
                </c:pt>
                <c:pt idx="4">
                  <c:v>25.116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A0-4D4B-BC7B-029959CA098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Table!$E$172:$E$176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Table!$H$172:$H$176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1.7230000000000001</c:v>
                </c:pt>
                <c:pt idx="4">
                  <c:v>16.972999999999999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A0-4D4B-BC7B-029959CA0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824063"/>
        <c:axId val="773005375"/>
      </c:lineChart>
      <c:catAx>
        <c:axId val="7278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5375"/>
        <c:crosses val="autoZero"/>
        <c:auto val="1"/>
        <c:lblAlgn val="ctr"/>
        <c:lblOffset val="100"/>
        <c:noMultiLvlLbl val="0"/>
      </c:catAx>
      <c:valAx>
        <c:axId val="7730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2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Table!$F$177:$F$181</c:f>
              <c:numCache>
                <c:formatCode>General</c:formatCode>
                <c:ptCount val="5"/>
                <c:pt idx="0">
                  <c:v>4.8163999999999998</c:v>
                </c:pt>
                <c:pt idx="1">
                  <c:v>7.3981000000000003</c:v>
                </c:pt>
                <c:pt idx="2">
                  <c:v>12.007300000000001</c:v>
                </c:pt>
                <c:pt idx="3">
                  <c:v>21.437100000000001</c:v>
                </c:pt>
                <c:pt idx="4">
                  <c:v>44.321599999999997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6-4053-86E7-6CCB1C493743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Table!$F$182:$F$186</c:f>
              <c:numCache>
                <c:formatCode>General</c:formatCode>
                <c:ptCount val="5"/>
                <c:pt idx="0">
                  <c:v>4.4709000000000003</c:v>
                </c:pt>
                <c:pt idx="1">
                  <c:v>6.7789000000000001</c:v>
                </c:pt>
                <c:pt idx="2">
                  <c:v>10.8874</c:v>
                </c:pt>
                <c:pt idx="3">
                  <c:v>19.0976</c:v>
                </c:pt>
                <c:pt idx="4">
                  <c:v>38.901000000000003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6-4053-86E7-6CCB1C493743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Table!$F$187:$F$191</c:f>
              <c:numCache>
                <c:formatCode>General</c:formatCode>
                <c:ptCount val="5"/>
                <c:pt idx="0">
                  <c:v>3.9243999999999999</c:v>
                </c:pt>
                <c:pt idx="1">
                  <c:v>6.0297999999999998</c:v>
                </c:pt>
                <c:pt idx="2">
                  <c:v>9.5022000000000002</c:v>
                </c:pt>
                <c:pt idx="3">
                  <c:v>16.2559</c:v>
                </c:pt>
                <c:pt idx="4">
                  <c:v>31.865400000000001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76-4053-86E7-6CCB1C493743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Table!$F$192:$F$196</c:f>
              <c:numCache>
                <c:formatCode>General</c:formatCode>
                <c:ptCount val="5"/>
                <c:pt idx="0">
                  <c:v>3.3256999999999999</c:v>
                </c:pt>
                <c:pt idx="1">
                  <c:v>5.2751000000000001</c:v>
                </c:pt>
                <c:pt idx="2">
                  <c:v>8.1387999999999998</c:v>
                </c:pt>
                <c:pt idx="3">
                  <c:v>13.5518</c:v>
                </c:pt>
                <c:pt idx="4">
                  <c:v>25.762599999999999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76-4053-86E7-6CCB1C49374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Table!$F$197:$F$201</c:f>
              <c:numCache>
                <c:formatCode>General</c:formatCode>
                <c:ptCount val="5"/>
                <c:pt idx="0">
                  <c:v>2.7086999999999999</c:v>
                </c:pt>
                <c:pt idx="1">
                  <c:v>4.3079999999999998</c:v>
                </c:pt>
                <c:pt idx="2">
                  <c:v>6.8571999999999997</c:v>
                </c:pt>
                <c:pt idx="3">
                  <c:v>11.141400000000001</c:v>
                </c:pt>
                <c:pt idx="4">
                  <c:v>20.3873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76-4053-86E7-6CCB1C493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050031"/>
        <c:axId val="993670223"/>
      </c:lineChart>
      <c:catAx>
        <c:axId val="62605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70223"/>
        <c:crosses val="autoZero"/>
        <c:auto val="1"/>
        <c:lblAlgn val="ctr"/>
        <c:lblOffset val="100"/>
        <c:noMultiLvlLbl val="0"/>
      </c:catAx>
      <c:valAx>
        <c:axId val="9936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5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Table!$E$197:$E$201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Table!$H$177:$H$181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1.2384999999999999</c:v>
                </c:pt>
                <c:pt idx="3">
                  <c:v>10.8147</c:v>
                </c:pt>
                <c:pt idx="4">
                  <c:v>47.261299999999999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8-4436-81A4-91F704FD6A1D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Table!$E$197:$E$201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Table!$H$182:$H$186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0.98199999999999998</c:v>
                </c:pt>
                <c:pt idx="3">
                  <c:v>9.0648</c:v>
                </c:pt>
                <c:pt idx="4">
                  <c:v>38.628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8-4436-81A4-91F704FD6A1D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Table!$E$197:$E$201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Table!$H$187:$H$191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7.0250000000000004</c:v>
                </c:pt>
                <c:pt idx="4">
                  <c:v>25.956299999999999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8-4436-81A4-91F704FD6A1D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Table!$E$197:$E$201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Table!$H$192:$H$196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5.1920000000000002</c:v>
                </c:pt>
                <c:pt idx="4">
                  <c:v>20.922000000000001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38-4436-81A4-91F704FD6A1D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Table!$E$197:$E$201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Table!$H$197:$H$201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1.542</c:v>
                </c:pt>
                <c:pt idx="4">
                  <c:v>14.484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8-4436-81A4-91F704FD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79711"/>
        <c:axId val="775031567"/>
      </c:lineChart>
      <c:catAx>
        <c:axId val="9986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31567"/>
        <c:crosses val="autoZero"/>
        <c:auto val="1"/>
        <c:lblAlgn val="ctr"/>
        <c:lblOffset val="100"/>
        <c:noMultiLvlLbl val="0"/>
      </c:catAx>
      <c:valAx>
        <c:axId val="77503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7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Table!$G$177:$G$181</c:f>
              <c:numCache>
                <c:formatCode>General</c:formatCode>
                <c:ptCount val="5"/>
                <c:pt idx="0">
                  <c:v>0.92800000000000005</c:v>
                </c:pt>
                <c:pt idx="1">
                  <c:v>2.2789999999999999</c:v>
                </c:pt>
                <c:pt idx="2">
                  <c:v>5.4169999999999998</c:v>
                </c:pt>
                <c:pt idx="3">
                  <c:v>13.185</c:v>
                </c:pt>
                <c:pt idx="4">
                  <c:v>37.880000000000003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3-47F9-82F2-D52F5E774B92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Table!$G$182:$G$186</c:f>
              <c:numCache>
                <c:formatCode>General</c:formatCode>
                <c:ptCount val="5"/>
                <c:pt idx="0">
                  <c:v>0.95</c:v>
                </c:pt>
                <c:pt idx="1">
                  <c:v>2.278</c:v>
                </c:pt>
                <c:pt idx="2">
                  <c:v>4.8920000000000003</c:v>
                </c:pt>
                <c:pt idx="3">
                  <c:v>12.311</c:v>
                </c:pt>
                <c:pt idx="4">
                  <c:v>32.924999999999997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3-47F9-82F2-D52F5E774B92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Table!$G$187:$G$191</c:f>
              <c:numCache>
                <c:formatCode>General</c:formatCode>
                <c:ptCount val="5"/>
                <c:pt idx="0">
                  <c:v>0.71399999999999997</c:v>
                </c:pt>
                <c:pt idx="1">
                  <c:v>2.0070000000000001</c:v>
                </c:pt>
                <c:pt idx="2">
                  <c:v>4.1529999999999996</c:v>
                </c:pt>
                <c:pt idx="3">
                  <c:v>10.039999999999999</c:v>
                </c:pt>
                <c:pt idx="4">
                  <c:v>27.419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3-47F9-82F2-D52F5E774B92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Table!$G$192:$G$196</c:f>
              <c:numCache>
                <c:formatCode>General</c:formatCode>
                <c:ptCount val="5"/>
                <c:pt idx="0">
                  <c:v>0.36099999999999999</c:v>
                </c:pt>
                <c:pt idx="1">
                  <c:v>1.331</c:v>
                </c:pt>
                <c:pt idx="2">
                  <c:v>3.6040000000000001</c:v>
                </c:pt>
                <c:pt idx="3">
                  <c:v>8.7569999999999997</c:v>
                </c:pt>
                <c:pt idx="4">
                  <c:v>20.603999999999999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3-47F9-82F2-D52F5E774B92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Table!$E$192:$E$196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Table!$G$197:$G$201</c:f>
              <c:numCache>
                <c:formatCode>General</c:formatCode>
                <c:ptCount val="5"/>
                <c:pt idx="0">
                  <c:v>8.2000000000000003E-2</c:v>
                </c:pt>
                <c:pt idx="1">
                  <c:v>0.86899999999999999</c:v>
                </c:pt>
                <c:pt idx="2">
                  <c:v>2.863</c:v>
                </c:pt>
                <c:pt idx="3">
                  <c:v>6.835</c:v>
                </c:pt>
                <c:pt idx="4">
                  <c:v>16.937000000000001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13-47F9-82F2-D52F5E77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41151"/>
        <c:axId val="781783759"/>
      </c:lineChart>
      <c:catAx>
        <c:axId val="63634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83759"/>
        <c:crosses val="autoZero"/>
        <c:auto val="1"/>
        <c:lblAlgn val="ctr"/>
        <c:lblOffset val="100"/>
        <c:noMultiLvlLbl val="0"/>
      </c:catAx>
      <c:valAx>
        <c:axId val="7817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Table!$F$327:$F$331</c:f>
              <c:numCache>
                <c:formatCode>General</c:formatCode>
                <c:ptCount val="5"/>
                <c:pt idx="0">
                  <c:v>4.9623999999999997</c:v>
                </c:pt>
                <c:pt idx="1">
                  <c:v>7.7957000000000001</c:v>
                </c:pt>
                <c:pt idx="2">
                  <c:v>12.200900000000001</c:v>
                </c:pt>
                <c:pt idx="3">
                  <c:v>20.465299999999999</c:v>
                </c:pt>
                <c:pt idx="4">
                  <c:v>38.6631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1-4F80-ADB6-61B1805F704B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Table!$F$332:$F$336</c:f>
              <c:numCache>
                <c:formatCode>General</c:formatCode>
                <c:ptCount val="5"/>
                <c:pt idx="0">
                  <c:v>4.4821</c:v>
                </c:pt>
                <c:pt idx="1">
                  <c:v>7.2522000000000002</c:v>
                </c:pt>
                <c:pt idx="2">
                  <c:v>11.2773</c:v>
                </c:pt>
                <c:pt idx="3">
                  <c:v>18.753</c:v>
                </c:pt>
                <c:pt idx="4">
                  <c:v>35.043700000000001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1-4F80-ADB6-61B1805F704B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Table!$F$337:$F$341</c:f>
              <c:numCache>
                <c:formatCode>General</c:formatCode>
                <c:ptCount val="5"/>
                <c:pt idx="0">
                  <c:v>3.9270999999999998</c:v>
                </c:pt>
                <c:pt idx="1">
                  <c:v>6.2824</c:v>
                </c:pt>
                <c:pt idx="2">
                  <c:v>10.0289</c:v>
                </c:pt>
                <c:pt idx="3">
                  <c:v>16.255500000000001</c:v>
                </c:pt>
                <c:pt idx="4">
                  <c:v>29.216699999999999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1-4F80-ADB6-61B1805F704B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Table!$F$342:$F$346</c:f>
              <c:numCache>
                <c:formatCode>General</c:formatCode>
                <c:ptCount val="5"/>
                <c:pt idx="0">
                  <c:v>3.3159999999999998</c:v>
                </c:pt>
                <c:pt idx="1">
                  <c:v>5.2778999999999998</c:v>
                </c:pt>
                <c:pt idx="2">
                  <c:v>8.7858000000000001</c:v>
                </c:pt>
                <c:pt idx="3">
                  <c:v>13.8695</c:v>
                </c:pt>
                <c:pt idx="4">
                  <c:v>24.112300000000001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31-4F80-ADB6-61B1805F704B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Table!$F$347:$F$351</c:f>
              <c:numCache>
                <c:formatCode>General</c:formatCode>
                <c:ptCount val="5"/>
                <c:pt idx="0">
                  <c:v>2.7023000000000001</c:v>
                </c:pt>
                <c:pt idx="1">
                  <c:v>4.3076999999999996</c:v>
                </c:pt>
                <c:pt idx="2">
                  <c:v>7.2686000000000002</c:v>
                </c:pt>
                <c:pt idx="3">
                  <c:v>11.6875</c:v>
                </c:pt>
                <c:pt idx="4">
                  <c:v>19.601900000000001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31-4F80-ADB6-61B1805F7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62431"/>
        <c:axId val="633023567"/>
      </c:lineChart>
      <c:catAx>
        <c:axId val="9986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23567"/>
        <c:crosses val="autoZero"/>
        <c:auto val="1"/>
        <c:lblAlgn val="ctr"/>
        <c:lblOffset val="100"/>
        <c:noMultiLvlLbl val="0"/>
      </c:catAx>
      <c:valAx>
        <c:axId val="6330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6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Table!$G$202:$G$206</c:f>
              <c:numCache>
                <c:formatCode>General</c:formatCode>
                <c:ptCount val="5"/>
                <c:pt idx="0">
                  <c:v>1</c:v>
                </c:pt>
                <c:pt idx="1">
                  <c:v>2.266</c:v>
                </c:pt>
                <c:pt idx="2">
                  <c:v>5.0540000000000003</c:v>
                </c:pt>
                <c:pt idx="3">
                  <c:v>11.85</c:v>
                </c:pt>
                <c:pt idx="4">
                  <c:v>31.382000000000001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EB-40D6-A5F7-95D98FAF9DB3}"/>
            </c:ext>
          </c:extLst>
        </c:ser>
        <c:ser>
          <c:idx val="1"/>
          <c:order val="1"/>
          <c:tx>
            <c:v>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Table!$G$212:$G$216</c:f>
              <c:numCache>
                <c:formatCode>General</c:formatCode>
                <c:ptCount val="5"/>
                <c:pt idx="0">
                  <c:v>0.69699999999999995</c:v>
                </c:pt>
                <c:pt idx="1">
                  <c:v>1.81</c:v>
                </c:pt>
                <c:pt idx="2">
                  <c:v>4.0170000000000003</c:v>
                </c:pt>
                <c:pt idx="3">
                  <c:v>8.9969999999999999</c:v>
                </c:pt>
                <c:pt idx="4">
                  <c:v>23.152000000000001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EB-40D6-A5F7-95D98FAF9DB3}"/>
            </c:ext>
          </c:extLst>
        </c:ser>
        <c:ser>
          <c:idx val="2"/>
          <c:order val="2"/>
          <c:tx>
            <c:v>15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Table!$G$217:$G$221</c:f>
              <c:numCache>
                <c:formatCode>General</c:formatCode>
                <c:ptCount val="5"/>
                <c:pt idx="0">
                  <c:v>0.44400000000000001</c:v>
                </c:pt>
                <c:pt idx="1">
                  <c:v>1.48</c:v>
                </c:pt>
                <c:pt idx="2">
                  <c:v>3.2690000000000001</c:v>
                </c:pt>
                <c:pt idx="3">
                  <c:v>7.39</c:v>
                </c:pt>
                <c:pt idx="4">
                  <c:v>17.294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EB-40D6-A5F7-95D98FAF9DB3}"/>
            </c:ext>
          </c:extLst>
        </c:ser>
        <c:ser>
          <c:idx val="3"/>
          <c:order val="3"/>
          <c:tx>
            <c:v>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Table!$G$207:$G$211</c:f>
              <c:numCache>
                <c:formatCode>General</c:formatCode>
                <c:ptCount val="5"/>
                <c:pt idx="0">
                  <c:v>0.93300000000000005</c:v>
                </c:pt>
                <c:pt idx="1">
                  <c:v>2.0499999999999998</c:v>
                </c:pt>
                <c:pt idx="2">
                  <c:v>4.5289999999999999</c:v>
                </c:pt>
                <c:pt idx="3">
                  <c:v>10.183999999999999</c:v>
                </c:pt>
                <c:pt idx="4">
                  <c:v>26.472999999999999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EB-40D6-A5F7-95D98FAF9DB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Table!$G$222:$G$226</c:f>
              <c:numCache>
                <c:formatCode>General</c:formatCode>
                <c:ptCount val="5"/>
                <c:pt idx="0">
                  <c:v>0.14199999999999999</c:v>
                </c:pt>
                <c:pt idx="1">
                  <c:v>0.90300000000000002</c:v>
                </c:pt>
                <c:pt idx="2">
                  <c:v>2.8210000000000002</c:v>
                </c:pt>
                <c:pt idx="3">
                  <c:v>6.0830000000000002</c:v>
                </c:pt>
                <c:pt idx="4">
                  <c:v>13.989000000000001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EB-40D6-A5F7-95D98FAF9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47871"/>
        <c:axId val="1145902927"/>
      </c:lineChart>
      <c:catAx>
        <c:axId val="636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02927"/>
        <c:crosses val="autoZero"/>
        <c:auto val="1"/>
        <c:lblAlgn val="ctr"/>
        <c:lblOffset val="100"/>
        <c:noMultiLvlLbl val="0"/>
      </c:catAx>
      <c:valAx>
        <c:axId val="114590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Table!$H$202:$H$206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8-4C6A-BAF0-1D13405C0229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Table!$H$207:$H$211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27.969000000000001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08-4C6A-BAF0-1D13405C0229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Table!$H$212:$H$216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21.283999999999999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08-4C6A-BAF0-1D13405C0229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Table!$H$217:$H$221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15.731999999999999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08-4C6A-BAF0-1D13405C0229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Table!$E$217:$E$221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Table!$H$222:$H$226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08-4C6A-BAF0-1D13405C0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82111"/>
        <c:axId val="948769743"/>
      </c:lineChart>
      <c:catAx>
        <c:axId val="99868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69743"/>
        <c:crosses val="autoZero"/>
        <c:auto val="1"/>
        <c:lblAlgn val="ctr"/>
        <c:lblOffset val="100"/>
        <c:noMultiLvlLbl val="0"/>
      </c:catAx>
      <c:valAx>
        <c:axId val="9487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8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Table!$F$227:$F$231</c:f>
              <c:numCache>
                <c:formatCode>General</c:formatCode>
                <c:ptCount val="5"/>
                <c:pt idx="0">
                  <c:v>4.5007000000000001</c:v>
                </c:pt>
                <c:pt idx="1">
                  <c:v>6.4989999999999997</c:v>
                </c:pt>
                <c:pt idx="2">
                  <c:v>9.7179000000000002</c:v>
                </c:pt>
                <c:pt idx="3">
                  <c:v>15.4171</c:v>
                </c:pt>
                <c:pt idx="4">
                  <c:v>27.107800000000001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5-40EF-BA92-C7F0A0A8FE93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Table!$F$232:$F$236</c:f>
              <c:numCache>
                <c:formatCode>General</c:formatCode>
                <c:ptCount val="5"/>
                <c:pt idx="0">
                  <c:v>4.2499000000000002</c:v>
                </c:pt>
                <c:pt idx="1">
                  <c:v>6.0918000000000001</c:v>
                </c:pt>
                <c:pt idx="2">
                  <c:v>9.0261999999999993</c:v>
                </c:pt>
                <c:pt idx="3">
                  <c:v>14.2094</c:v>
                </c:pt>
                <c:pt idx="4">
                  <c:v>24.716999999999999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5-40EF-BA92-C7F0A0A8FE93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Table!$F$237:$F$241</c:f>
              <c:numCache>
                <c:formatCode>General</c:formatCode>
                <c:ptCount val="5"/>
                <c:pt idx="0">
                  <c:v>3.8971</c:v>
                </c:pt>
                <c:pt idx="1">
                  <c:v>5.5076999999999998</c:v>
                </c:pt>
                <c:pt idx="2">
                  <c:v>8.0190999999999999</c:v>
                </c:pt>
                <c:pt idx="3">
                  <c:v>12.2667</c:v>
                </c:pt>
                <c:pt idx="4">
                  <c:v>20.630500000000001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5-40EF-BA92-C7F0A0A8FE93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Table!$F$242:$F$246</c:f>
              <c:numCache>
                <c:formatCode>General</c:formatCode>
                <c:ptCount val="5"/>
                <c:pt idx="0">
                  <c:v>3.3169</c:v>
                </c:pt>
                <c:pt idx="1">
                  <c:v>4.8925000000000001</c:v>
                </c:pt>
                <c:pt idx="2">
                  <c:v>6.9911000000000003</c:v>
                </c:pt>
                <c:pt idx="3">
                  <c:v>10.434200000000001</c:v>
                </c:pt>
                <c:pt idx="4">
                  <c:v>16.961600000000001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5-40EF-BA92-C7F0A0A8FE9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Table!$F$247:$F$251</c:f>
              <c:numCache>
                <c:formatCode>General</c:formatCode>
                <c:ptCount val="5"/>
                <c:pt idx="0">
                  <c:v>2.702</c:v>
                </c:pt>
                <c:pt idx="1">
                  <c:v>4.2805</c:v>
                </c:pt>
                <c:pt idx="2">
                  <c:v>6.0290999999999997</c:v>
                </c:pt>
                <c:pt idx="3">
                  <c:v>8.7866</c:v>
                </c:pt>
                <c:pt idx="4">
                  <c:v>13.818899999999999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E5-40EF-BA92-C7F0A0A8F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23391"/>
        <c:axId val="948763791"/>
      </c:lineChart>
      <c:catAx>
        <c:axId val="63632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63791"/>
        <c:crosses val="autoZero"/>
        <c:auto val="1"/>
        <c:lblAlgn val="ctr"/>
        <c:lblOffset val="100"/>
        <c:noMultiLvlLbl val="0"/>
      </c:catAx>
      <c:valAx>
        <c:axId val="94876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2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Table!$G$227:$G$231</c:f>
              <c:numCache>
                <c:formatCode>General</c:formatCode>
                <c:ptCount val="5"/>
                <c:pt idx="0">
                  <c:v>1.0029999999999999</c:v>
                </c:pt>
                <c:pt idx="1">
                  <c:v>2.2690000000000001</c:v>
                </c:pt>
                <c:pt idx="2">
                  <c:v>4.5579999999999998</c:v>
                </c:pt>
                <c:pt idx="3">
                  <c:v>9.7360000000000007</c:v>
                </c:pt>
                <c:pt idx="4">
                  <c:v>24.103000000000002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3-4AE1-AA9B-ADDC577B2202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Table!$G$232:$G$236</c:f>
              <c:numCache>
                <c:formatCode>General</c:formatCode>
                <c:ptCount val="5"/>
                <c:pt idx="0">
                  <c:v>0.98299999999999998</c:v>
                </c:pt>
                <c:pt idx="1">
                  <c:v>2.0529999999999999</c:v>
                </c:pt>
                <c:pt idx="2">
                  <c:v>4.1639999999999997</c:v>
                </c:pt>
                <c:pt idx="3">
                  <c:v>9.1199999999999992</c:v>
                </c:pt>
                <c:pt idx="4">
                  <c:v>21.388999999999999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3-4AE1-AA9B-ADDC577B2202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Table!$G$237:$G$241</c:f>
              <c:numCache>
                <c:formatCode>General</c:formatCode>
                <c:ptCount val="5"/>
                <c:pt idx="0">
                  <c:v>0.73899999999999999</c:v>
                </c:pt>
                <c:pt idx="1">
                  <c:v>1.806</c:v>
                </c:pt>
                <c:pt idx="2">
                  <c:v>3.6539999999999999</c:v>
                </c:pt>
                <c:pt idx="3">
                  <c:v>7.8250000000000002</c:v>
                </c:pt>
                <c:pt idx="4">
                  <c:v>18.521000000000001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F3-4AE1-AA9B-ADDC577B2202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Table!$G$242:$G$246</c:f>
              <c:numCache>
                <c:formatCode>General</c:formatCode>
                <c:ptCount val="5"/>
                <c:pt idx="0">
                  <c:v>0.433</c:v>
                </c:pt>
                <c:pt idx="1">
                  <c:v>1.552</c:v>
                </c:pt>
                <c:pt idx="2">
                  <c:v>3.2290000000000001</c:v>
                </c:pt>
                <c:pt idx="3">
                  <c:v>6.5419999999999998</c:v>
                </c:pt>
                <c:pt idx="4">
                  <c:v>14.43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F3-4AE1-AA9B-ADDC577B2202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Table!$E$242:$E$246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Table!$G$247:$G$251</c:f>
              <c:numCache>
                <c:formatCode>General</c:formatCode>
                <c:ptCount val="5"/>
                <c:pt idx="0">
                  <c:v>0.12</c:v>
                </c:pt>
                <c:pt idx="1">
                  <c:v>0.98899999999999999</c:v>
                </c:pt>
                <c:pt idx="2">
                  <c:v>2.649</c:v>
                </c:pt>
                <c:pt idx="3">
                  <c:v>5.585</c:v>
                </c:pt>
                <c:pt idx="4">
                  <c:v>11.228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F3-4AE1-AA9B-ADDC577B2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5503"/>
        <c:axId val="948748911"/>
      </c:lineChart>
      <c:catAx>
        <c:axId val="88457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48911"/>
        <c:crosses val="autoZero"/>
        <c:auto val="1"/>
        <c:lblAlgn val="ctr"/>
        <c:lblOffset val="100"/>
        <c:noMultiLvlLbl val="0"/>
      </c:catAx>
      <c:valAx>
        <c:axId val="94874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334911"/>
        <c:axId val="946769215"/>
      </c:lineChart>
      <c:catAx>
        <c:axId val="636334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69215"/>
        <c:crosses val="autoZero"/>
        <c:auto val="1"/>
        <c:lblAlgn val="ctr"/>
        <c:lblOffset val="100"/>
        <c:noMultiLvlLbl val="0"/>
      </c:catAx>
      <c:valAx>
        <c:axId val="9467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3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Table!$E$257:$E$261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Table!$F$252:$F$256</c:f>
              <c:numCache>
                <c:formatCode>General</c:formatCode>
                <c:ptCount val="5"/>
                <c:pt idx="0">
                  <c:v>4.9782999999999999</c:v>
                </c:pt>
                <c:pt idx="1">
                  <c:v>8.14</c:v>
                </c:pt>
                <c:pt idx="2">
                  <c:v>14.552300000000001</c:v>
                </c:pt>
                <c:pt idx="3">
                  <c:v>29.528400000000001</c:v>
                </c:pt>
                <c:pt idx="4">
                  <c:v>73.069100000000006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9-416B-A501-326CEEB2FB52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Table!$E$257:$E$261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Table!$F$257:$F$261</c:f>
              <c:numCache>
                <c:formatCode>General</c:formatCode>
                <c:ptCount val="5"/>
                <c:pt idx="0">
                  <c:v>4.4984000000000002</c:v>
                </c:pt>
                <c:pt idx="1">
                  <c:v>7.2698999999999998</c:v>
                </c:pt>
                <c:pt idx="2">
                  <c:v>12.763299999999999</c:v>
                </c:pt>
                <c:pt idx="3">
                  <c:v>25.369299999999999</c:v>
                </c:pt>
                <c:pt idx="4">
                  <c:v>61.029000000000003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9-416B-A501-326CEEB2FB52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Table!$E$257:$E$261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Table!$F$262:$F$266</c:f>
              <c:numCache>
                <c:formatCode>General</c:formatCode>
                <c:ptCount val="5"/>
                <c:pt idx="0">
                  <c:v>3.9363000000000001</c:v>
                </c:pt>
                <c:pt idx="1">
                  <c:v>6.3010999999999999</c:v>
                </c:pt>
                <c:pt idx="2">
                  <c:v>10.8926</c:v>
                </c:pt>
                <c:pt idx="3">
                  <c:v>21.150099999999998</c:v>
                </c:pt>
                <c:pt idx="4">
                  <c:v>49.336599999999997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69-416B-A501-326CEEB2FB52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Table!$E$257:$E$261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Table!$F$267:$F$271</c:f>
              <c:numCache>
                <c:formatCode>General</c:formatCode>
                <c:ptCount val="5"/>
                <c:pt idx="0">
                  <c:v>3.3281999999999998</c:v>
                </c:pt>
                <c:pt idx="1">
                  <c:v>5.2998000000000003</c:v>
                </c:pt>
                <c:pt idx="2">
                  <c:v>9.0496999999999996</c:v>
                </c:pt>
                <c:pt idx="3">
                  <c:v>17.226099999999999</c:v>
                </c:pt>
                <c:pt idx="4">
                  <c:v>38.8919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69-416B-A501-326CEEB2FB52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Table!$E$257:$E$261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Table!$F$272:$F$276</c:f>
              <c:numCache>
                <c:formatCode>General</c:formatCode>
                <c:ptCount val="5"/>
                <c:pt idx="0">
                  <c:v>2.7081</c:v>
                </c:pt>
                <c:pt idx="1">
                  <c:v>4.3150000000000004</c:v>
                </c:pt>
                <c:pt idx="2">
                  <c:v>7.3061999999999996</c:v>
                </c:pt>
                <c:pt idx="3">
                  <c:v>13.6746</c:v>
                </c:pt>
                <c:pt idx="4">
                  <c:v>30.049600000000002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69-416B-A501-326CEEB2F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9343"/>
        <c:axId val="946768223"/>
      </c:lineChart>
      <c:catAx>
        <c:axId val="8845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68223"/>
        <c:crosses val="autoZero"/>
        <c:auto val="1"/>
        <c:lblAlgn val="ctr"/>
        <c:lblOffset val="100"/>
        <c:noMultiLvlLbl val="0"/>
      </c:catAx>
      <c:valAx>
        <c:axId val="9467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Table!$G$252:$G$256</c:f>
              <c:numCache>
                <c:formatCode>General</c:formatCode>
                <c:ptCount val="5"/>
                <c:pt idx="0">
                  <c:v>0.98699999999999999</c:v>
                </c:pt>
                <c:pt idx="1">
                  <c:v>2.5630000000000002</c:v>
                </c:pt>
                <c:pt idx="2">
                  <c:v>6.4770000000000039</c:v>
                </c:pt>
                <c:pt idx="3">
                  <c:v>18.213999999999999</c:v>
                </c:pt>
                <c:pt idx="4">
                  <c:v>61.731999999999971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7-4970-B27F-F976346F29F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Table!$G$257:$G$261</c:f>
              <c:numCache>
                <c:formatCode>General</c:formatCode>
                <c:ptCount val="5"/>
                <c:pt idx="0">
                  <c:v>0.88900000000000001</c:v>
                </c:pt>
                <c:pt idx="1">
                  <c:v>2.173</c:v>
                </c:pt>
                <c:pt idx="2">
                  <c:v>5.6459999999999999</c:v>
                </c:pt>
                <c:pt idx="3">
                  <c:v>15.584</c:v>
                </c:pt>
                <c:pt idx="4">
                  <c:v>52.65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7-4970-B27F-F976346F29F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Table!$G$262:$G$266</c:f>
              <c:numCache>
                <c:formatCode>General</c:formatCode>
                <c:ptCount val="5"/>
                <c:pt idx="0">
                  <c:v>0.70899999999999996</c:v>
                </c:pt>
                <c:pt idx="1">
                  <c:v>1.8109999999999999</c:v>
                </c:pt>
                <c:pt idx="2">
                  <c:v>4.6130000000000004</c:v>
                </c:pt>
                <c:pt idx="3">
                  <c:v>12.76</c:v>
                </c:pt>
                <c:pt idx="4">
                  <c:v>41.927999999999997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7-4970-B27F-F976346F29F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Table!$G$267:$G$271</c:f>
              <c:numCache>
                <c:formatCode>General</c:formatCode>
                <c:ptCount val="5"/>
                <c:pt idx="0">
                  <c:v>0.48399999999999999</c:v>
                </c:pt>
                <c:pt idx="1">
                  <c:v>1.387</c:v>
                </c:pt>
                <c:pt idx="2">
                  <c:v>3.7749999999999999</c:v>
                </c:pt>
                <c:pt idx="3">
                  <c:v>10.308999999999999</c:v>
                </c:pt>
                <c:pt idx="4">
                  <c:v>33.006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7-4970-B27F-F976346F29F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Table!$G$272:$G$276</c:f>
              <c:numCache>
                <c:formatCode>General</c:formatCode>
                <c:ptCount val="5"/>
                <c:pt idx="0">
                  <c:v>0.187</c:v>
                </c:pt>
                <c:pt idx="1">
                  <c:v>0.96699999999999997</c:v>
                </c:pt>
                <c:pt idx="2">
                  <c:v>2.85</c:v>
                </c:pt>
                <c:pt idx="3">
                  <c:v>8.0679999999999996</c:v>
                </c:pt>
                <c:pt idx="4">
                  <c:v>25.094999999999999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F7-4970-B27F-F976346F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022031"/>
        <c:axId val="948768751"/>
      </c:lineChart>
      <c:catAx>
        <c:axId val="63602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68751"/>
        <c:crosses val="autoZero"/>
        <c:auto val="1"/>
        <c:lblAlgn val="ctr"/>
        <c:lblOffset val="100"/>
        <c:noMultiLvlLbl val="0"/>
      </c:catAx>
      <c:valAx>
        <c:axId val="9487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02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Table!$H$252:$H$256</c:f>
              <c:numCache>
                <c:formatCode>General</c:formatCode>
                <c:ptCount val="5"/>
                <c:pt idx="0">
                  <c:v>0</c:v>
                </c:pt>
                <c:pt idx="1">
                  <c:v>1.6020000000000001</c:v>
                </c:pt>
                <c:pt idx="2">
                  <c:v>2.9350000000000001</c:v>
                </c:pt>
                <c:pt idx="3">
                  <c:v>14.13</c:v>
                </c:pt>
                <c:pt idx="4">
                  <c:v>80.325999999999993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C-4882-B596-3CD69C7A039F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Table!$H$257:$H$261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2.113</c:v>
                </c:pt>
                <c:pt idx="3">
                  <c:v>11.057600000000001</c:v>
                </c:pt>
                <c:pt idx="4">
                  <c:v>61.658000000000001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5C-4882-B596-3CD69C7A039F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Table!$H$262:$H$266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8.1950000000000003</c:v>
                </c:pt>
                <c:pt idx="4">
                  <c:v>44.015999999999998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C-4882-B596-3CD69C7A039F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Table!$H$267:$H$271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5.6459999999999999</c:v>
                </c:pt>
                <c:pt idx="4">
                  <c:v>30.029699999999998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C-4882-B596-3CD69C7A039F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Table!$E$267:$E$271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Table!$H$272:$H$276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1.9970000000000001</c:v>
                </c:pt>
                <c:pt idx="4">
                  <c:v>19.405000000000001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5C-4882-B596-3CD69C7A0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830783"/>
        <c:axId val="948780159"/>
      </c:lineChart>
      <c:catAx>
        <c:axId val="72783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80159"/>
        <c:crosses val="autoZero"/>
        <c:auto val="1"/>
        <c:lblAlgn val="ctr"/>
        <c:lblOffset val="100"/>
        <c:noMultiLvlLbl val="0"/>
      </c:catAx>
      <c:valAx>
        <c:axId val="94878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3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Table!$F$277:$F$281</c:f>
              <c:numCache>
                <c:formatCode>General</c:formatCode>
                <c:ptCount val="5"/>
                <c:pt idx="0">
                  <c:v>4.9584000000000001</c:v>
                </c:pt>
                <c:pt idx="1">
                  <c:v>8.1288</c:v>
                </c:pt>
                <c:pt idx="2">
                  <c:v>13.925000000000001</c:v>
                </c:pt>
                <c:pt idx="3">
                  <c:v>26.293099999999999</c:v>
                </c:pt>
                <c:pt idx="4">
                  <c:v>58.953800000000001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5-41BD-B3FF-0FCAD181B7B0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Table!$F$282:$F$286</c:f>
              <c:numCache>
                <c:formatCode>General</c:formatCode>
                <c:ptCount val="5"/>
                <c:pt idx="0">
                  <c:v>4.4917999999999996</c:v>
                </c:pt>
                <c:pt idx="1">
                  <c:v>7.2352999999999996</c:v>
                </c:pt>
                <c:pt idx="2">
                  <c:v>12.466699999999999</c:v>
                </c:pt>
                <c:pt idx="3">
                  <c:v>23.050799999999999</c:v>
                </c:pt>
                <c:pt idx="4">
                  <c:v>50.504600000000003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5-41BD-B3FF-0FCAD181B7B0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Table!$F$287:$F$291</c:f>
              <c:numCache>
                <c:formatCode>General</c:formatCode>
                <c:ptCount val="5"/>
                <c:pt idx="0">
                  <c:v>3.9199000000000002</c:v>
                </c:pt>
                <c:pt idx="1">
                  <c:v>6.282</c:v>
                </c:pt>
                <c:pt idx="2">
                  <c:v>10.8401</c:v>
                </c:pt>
                <c:pt idx="3">
                  <c:v>19.5884</c:v>
                </c:pt>
                <c:pt idx="4">
                  <c:v>41.198599999999999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5-41BD-B3FF-0FCAD181B7B0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Table!$F$292:$F$296</c:f>
              <c:numCache>
                <c:formatCode>General</c:formatCode>
                <c:ptCount val="5"/>
                <c:pt idx="0">
                  <c:v>3.3229000000000002</c:v>
                </c:pt>
                <c:pt idx="1">
                  <c:v>5.2849000000000004</c:v>
                </c:pt>
                <c:pt idx="2">
                  <c:v>9.0412999999999997</c:v>
                </c:pt>
                <c:pt idx="3">
                  <c:v>16.250800000000002</c:v>
                </c:pt>
                <c:pt idx="4">
                  <c:v>33.188699999999997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55-41BD-B3FF-0FCAD181B7B0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Table!$F$297:$F$301</c:f>
              <c:numCache>
                <c:formatCode>General</c:formatCode>
                <c:ptCount val="5"/>
                <c:pt idx="0">
                  <c:v>2.7111999999999998</c:v>
                </c:pt>
                <c:pt idx="1">
                  <c:v>4.3018000000000001</c:v>
                </c:pt>
                <c:pt idx="2">
                  <c:v>7.2920999999999996</c:v>
                </c:pt>
                <c:pt idx="3">
                  <c:v>13.276400000000001</c:v>
                </c:pt>
                <c:pt idx="4">
                  <c:v>26.168800000000001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55-41BD-B3FF-0FCAD181B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55231"/>
        <c:axId val="737096159"/>
      </c:lineChart>
      <c:catAx>
        <c:axId val="99865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96159"/>
        <c:crosses val="autoZero"/>
        <c:auto val="1"/>
        <c:lblAlgn val="ctr"/>
        <c:lblOffset val="100"/>
        <c:noMultiLvlLbl val="0"/>
      </c:catAx>
      <c:valAx>
        <c:axId val="7370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5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Table!$G$277:$G$281</c:f>
              <c:numCache>
                <c:formatCode>General</c:formatCode>
                <c:ptCount val="5"/>
                <c:pt idx="0">
                  <c:v>0.998</c:v>
                </c:pt>
                <c:pt idx="1">
                  <c:v>2.4119999999999999</c:v>
                </c:pt>
                <c:pt idx="2">
                  <c:v>6.11</c:v>
                </c:pt>
                <c:pt idx="3">
                  <c:v>16.27</c:v>
                </c:pt>
                <c:pt idx="4">
                  <c:v>51.99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B-425A-BF50-1F9AF3BB9699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Table!$G$282:$G$286</c:f>
              <c:numCache>
                <c:formatCode>General</c:formatCode>
                <c:ptCount val="5"/>
                <c:pt idx="0">
                  <c:v>0.75900000000000001</c:v>
                </c:pt>
                <c:pt idx="1">
                  <c:v>2.3010000000000002</c:v>
                </c:pt>
                <c:pt idx="2">
                  <c:v>5.2350000000000003</c:v>
                </c:pt>
                <c:pt idx="3">
                  <c:v>14.507</c:v>
                </c:pt>
                <c:pt idx="4">
                  <c:v>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B-425A-BF50-1F9AF3BB9699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Table!$G$287:$G$291</c:f>
              <c:numCache>
                <c:formatCode>General</c:formatCode>
                <c:ptCount val="5"/>
                <c:pt idx="0">
                  <c:v>0.73299999999999998</c:v>
                </c:pt>
                <c:pt idx="1">
                  <c:v>1.9279999999999999</c:v>
                </c:pt>
                <c:pt idx="2">
                  <c:v>4.59</c:v>
                </c:pt>
                <c:pt idx="3">
                  <c:v>11.878</c:v>
                </c:pt>
                <c:pt idx="4">
                  <c:v>36.841999999999999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B-425A-BF50-1F9AF3BB9699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Table!$G$292:$G$296</c:f>
              <c:numCache>
                <c:formatCode>General</c:formatCode>
                <c:ptCount val="5"/>
                <c:pt idx="0">
                  <c:v>0.44400000000000001</c:v>
                </c:pt>
                <c:pt idx="1">
                  <c:v>1.514</c:v>
                </c:pt>
                <c:pt idx="2">
                  <c:v>3.7330000000000001</c:v>
                </c:pt>
                <c:pt idx="3">
                  <c:v>9.9320000000000004</c:v>
                </c:pt>
                <c:pt idx="4">
                  <c:v>28.06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7B-425A-BF50-1F9AF3BB9699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Table!$G$297:$G$301</c:f>
              <c:numCache>
                <c:formatCode>General</c:formatCode>
                <c:ptCount val="5"/>
                <c:pt idx="0">
                  <c:v>0.11799999999999999</c:v>
                </c:pt>
                <c:pt idx="1">
                  <c:v>0.95099999999999996</c:v>
                </c:pt>
                <c:pt idx="2">
                  <c:v>2.6789999999999998</c:v>
                </c:pt>
                <c:pt idx="3">
                  <c:v>8.5229999999999997</c:v>
                </c:pt>
                <c:pt idx="4">
                  <c:v>22.248999999999999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7B-425A-BF50-1F9AF3BB9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81151"/>
        <c:axId val="948753871"/>
      </c:lineChart>
      <c:catAx>
        <c:axId val="99868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53871"/>
        <c:crosses val="autoZero"/>
        <c:auto val="1"/>
        <c:lblAlgn val="ctr"/>
        <c:lblOffset val="100"/>
        <c:noMultiLvlLbl val="0"/>
      </c:catAx>
      <c:valAx>
        <c:axId val="94875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8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Table!$H$277:$H$281</c:f>
              <c:numCache>
                <c:formatCode>General</c:formatCode>
                <c:ptCount val="5"/>
                <c:pt idx="0">
                  <c:v>0</c:v>
                </c:pt>
                <c:pt idx="1">
                  <c:v>1.103</c:v>
                </c:pt>
                <c:pt idx="2">
                  <c:v>1.415</c:v>
                </c:pt>
                <c:pt idx="3">
                  <c:v>13.222</c:v>
                </c:pt>
                <c:pt idx="4">
                  <c:v>68.328000000000003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6-49BB-8B39-85D89681D3FE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Table!$H$282:$H$286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10.4847</c:v>
                </c:pt>
                <c:pt idx="4">
                  <c:v>55.015999999999998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6-49BB-8B39-85D89681D3FE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Table!$H$287:$H$291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7.7779999999999996</c:v>
                </c:pt>
                <c:pt idx="4">
                  <c:v>40.784999999999997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6-49BB-8B39-85D89681D3FE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Table!$H$292:$H$296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E6-49BB-8B39-85D89681D3FE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Table!$E$292:$E$296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Table!$H$297:$H$301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18.507000000000001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E6-49BB-8B39-85D89681D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59551"/>
        <c:axId val="947075135"/>
      </c:lineChart>
      <c:catAx>
        <c:axId val="99865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75135"/>
        <c:crosses val="autoZero"/>
        <c:auto val="1"/>
        <c:lblAlgn val="ctr"/>
        <c:lblOffset val="100"/>
        <c:noMultiLvlLbl val="0"/>
      </c:catAx>
      <c:valAx>
        <c:axId val="9470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5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Table!$F$302:$F$306</c:f>
              <c:numCache>
                <c:formatCode>General</c:formatCode>
                <c:ptCount val="5"/>
                <c:pt idx="0">
                  <c:v>4.9663000000000004</c:v>
                </c:pt>
                <c:pt idx="1">
                  <c:v>8.0533000000000001</c:v>
                </c:pt>
                <c:pt idx="2">
                  <c:v>13.126099999999999</c:v>
                </c:pt>
                <c:pt idx="3">
                  <c:v>23.273</c:v>
                </c:pt>
                <c:pt idx="4">
                  <c:v>47.514099999999999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7-48D5-8659-E2EC7C081124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Table!$F$307:$F$311</c:f>
              <c:numCache>
                <c:formatCode>General</c:formatCode>
                <c:ptCount val="5"/>
                <c:pt idx="0">
                  <c:v>4.4831000000000003</c:v>
                </c:pt>
                <c:pt idx="1">
                  <c:v>7.2365000000000004</c:v>
                </c:pt>
                <c:pt idx="2">
                  <c:v>11.931699999999999</c:v>
                </c:pt>
                <c:pt idx="3">
                  <c:v>20.8386</c:v>
                </c:pt>
                <c:pt idx="4">
                  <c:v>42.109699999999997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7-48D5-8659-E2EC7C081124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Table!$F$312:$F$316</c:f>
              <c:numCache>
                <c:formatCode>General</c:formatCode>
                <c:ptCount val="5"/>
                <c:pt idx="0">
                  <c:v>3.9220999999999999</c:v>
                </c:pt>
                <c:pt idx="1">
                  <c:v>6.2893999999999997</c:v>
                </c:pt>
                <c:pt idx="2">
                  <c:v>10.5182</c:v>
                </c:pt>
                <c:pt idx="3">
                  <c:v>17.920100000000001</c:v>
                </c:pt>
                <c:pt idx="4">
                  <c:v>34.802500000000002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77-48D5-8659-E2EC7C081124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Table!$F$317:$F$321</c:f>
              <c:numCache>
                <c:formatCode>General</c:formatCode>
                <c:ptCount val="5"/>
                <c:pt idx="0">
                  <c:v>3.3176999999999999</c:v>
                </c:pt>
                <c:pt idx="1">
                  <c:v>5.2830000000000004</c:v>
                </c:pt>
                <c:pt idx="2">
                  <c:v>9.0117999999999991</c:v>
                </c:pt>
                <c:pt idx="3">
                  <c:v>15.1067</c:v>
                </c:pt>
                <c:pt idx="4">
                  <c:v>28.3827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77-48D5-8659-E2EC7C081124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Table!$F$322:$F$326</c:f>
              <c:numCache>
                <c:formatCode>General</c:formatCode>
                <c:ptCount val="5"/>
                <c:pt idx="0">
                  <c:v>2.7006999999999999</c:v>
                </c:pt>
                <c:pt idx="1">
                  <c:v>4.3074000000000003</c:v>
                </c:pt>
                <c:pt idx="2">
                  <c:v>7.2836999999999996</c:v>
                </c:pt>
                <c:pt idx="3">
                  <c:v>12.593</c:v>
                </c:pt>
                <c:pt idx="4">
                  <c:v>22.7926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77-48D5-8659-E2EC7C08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71551"/>
        <c:axId val="993683119"/>
      </c:lineChart>
      <c:catAx>
        <c:axId val="99867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83119"/>
        <c:crosses val="autoZero"/>
        <c:auto val="1"/>
        <c:lblAlgn val="ctr"/>
        <c:lblOffset val="100"/>
        <c:noMultiLvlLbl val="0"/>
      </c:catAx>
      <c:valAx>
        <c:axId val="9936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7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Table!$G$302:$G$306</c:f>
              <c:numCache>
                <c:formatCode>General</c:formatCode>
                <c:ptCount val="5"/>
                <c:pt idx="0">
                  <c:v>0.997</c:v>
                </c:pt>
                <c:pt idx="1">
                  <c:v>2.2349999999999999</c:v>
                </c:pt>
                <c:pt idx="2">
                  <c:v>5.766</c:v>
                </c:pt>
                <c:pt idx="3">
                  <c:v>14.723000000000001</c:v>
                </c:pt>
                <c:pt idx="4">
                  <c:v>40.738999999999997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5-45DA-8BFF-3FA0465499B3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Table!$G$307:$G$311</c:f>
              <c:numCache>
                <c:formatCode>General</c:formatCode>
                <c:ptCount val="5"/>
                <c:pt idx="0">
                  <c:v>0.91200000000000003</c:v>
                </c:pt>
                <c:pt idx="1">
                  <c:v>2.2919999999999998</c:v>
                </c:pt>
                <c:pt idx="2">
                  <c:v>5.4589999999999996</c:v>
                </c:pt>
                <c:pt idx="3">
                  <c:v>13.375999999999999</c:v>
                </c:pt>
                <c:pt idx="4">
                  <c:v>36.575000000000003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5-45DA-8BFF-3FA0465499B3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Table!$G$312:$G$316</c:f>
              <c:numCache>
                <c:formatCode>General</c:formatCode>
                <c:ptCount val="5"/>
                <c:pt idx="0">
                  <c:v>0.79100000000000004</c:v>
                </c:pt>
                <c:pt idx="1">
                  <c:v>1.7769999999999999</c:v>
                </c:pt>
                <c:pt idx="2">
                  <c:v>4.4850000000000003</c:v>
                </c:pt>
                <c:pt idx="3">
                  <c:v>11.52</c:v>
                </c:pt>
                <c:pt idx="4">
                  <c:v>30.344000000000001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5-45DA-8BFF-3FA0465499B3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Table!$G$317:$G$321</c:f>
              <c:numCache>
                <c:formatCode>General</c:formatCode>
                <c:ptCount val="5"/>
                <c:pt idx="0">
                  <c:v>0.46700000000000003</c:v>
                </c:pt>
                <c:pt idx="1">
                  <c:v>1.413</c:v>
                </c:pt>
                <c:pt idx="2">
                  <c:v>3.7749999999999999</c:v>
                </c:pt>
                <c:pt idx="3">
                  <c:v>9.3170000000000002</c:v>
                </c:pt>
                <c:pt idx="4">
                  <c:v>23.949000000000002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65-45DA-8BFF-3FA0465499B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Table!$G$322:$G$326</c:f>
              <c:numCache>
                <c:formatCode>General</c:formatCode>
                <c:ptCount val="5"/>
                <c:pt idx="0">
                  <c:v>0.192</c:v>
                </c:pt>
                <c:pt idx="1">
                  <c:v>0.94599999999999995</c:v>
                </c:pt>
                <c:pt idx="2">
                  <c:v>2.9630000000000001</c:v>
                </c:pt>
                <c:pt idx="3">
                  <c:v>7.3710000000000004</c:v>
                </c:pt>
                <c:pt idx="4">
                  <c:v>19.364000000000001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65-45DA-8BFF-3FA046549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42111"/>
        <c:axId val="993691055"/>
      </c:lineChart>
      <c:catAx>
        <c:axId val="6363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91055"/>
        <c:crosses val="autoZero"/>
        <c:auto val="1"/>
        <c:lblAlgn val="ctr"/>
        <c:lblOffset val="100"/>
        <c:noMultiLvlLbl val="0"/>
      </c:catAx>
      <c:valAx>
        <c:axId val="9936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Table!$H$302:$H$306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13.0656</c:v>
                </c:pt>
                <c:pt idx="4">
                  <c:v>60.988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2-4A97-8FB5-AD63002F713A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Table!$H$307:$H$311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10.349</c:v>
                </c:pt>
                <c:pt idx="4">
                  <c:v>49.33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2-4A97-8FB5-AD63002F713A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Table!$H$312:$H$316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7.7130000000000001</c:v>
                </c:pt>
                <c:pt idx="4">
                  <c:v>37.258000000000003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22-4A97-8FB5-AD63002F713A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Table!$H$317:$H$321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5.3250000000000002</c:v>
                </c:pt>
                <c:pt idx="4">
                  <c:v>27.074000000000002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22-4A97-8FB5-AD63002F713A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Table!$E$317:$E$321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Table!$H$322:$H$326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18.299600000000002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22-4A97-8FB5-AD63002F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74911"/>
        <c:axId val="946751855"/>
      </c:lineChart>
      <c:catAx>
        <c:axId val="99867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51855"/>
        <c:crosses val="autoZero"/>
        <c:auto val="1"/>
        <c:lblAlgn val="ctr"/>
        <c:lblOffset val="100"/>
        <c:noMultiLvlLbl val="0"/>
      </c:catAx>
      <c:valAx>
        <c:axId val="94675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7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Table!$F$327:$F$331</c:f>
              <c:numCache>
                <c:formatCode>General</c:formatCode>
                <c:ptCount val="5"/>
                <c:pt idx="0">
                  <c:v>4.9623999999999997</c:v>
                </c:pt>
                <c:pt idx="1">
                  <c:v>7.7957000000000001</c:v>
                </c:pt>
                <c:pt idx="2">
                  <c:v>12.200900000000001</c:v>
                </c:pt>
                <c:pt idx="3">
                  <c:v>20.465299999999999</c:v>
                </c:pt>
                <c:pt idx="4">
                  <c:v>38.6631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2-4015-A3B5-675C78D1131E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Table!$F$332:$F$336</c:f>
              <c:numCache>
                <c:formatCode>General</c:formatCode>
                <c:ptCount val="5"/>
                <c:pt idx="0">
                  <c:v>4.4821</c:v>
                </c:pt>
                <c:pt idx="1">
                  <c:v>7.2522000000000002</c:v>
                </c:pt>
                <c:pt idx="2">
                  <c:v>11.2773</c:v>
                </c:pt>
                <c:pt idx="3">
                  <c:v>18.753</c:v>
                </c:pt>
                <c:pt idx="4">
                  <c:v>35.043700000000001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2-4015-A3B5-675C78D1131E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Table!$F$337:$F$341</c:f>
              <c:numCache>
                <c:formatCode>General</c:formatCode>
                <c:ptCount val="5"/>
                <c:pt idx="0">
                  <c:v>3.9270999999999998</c:v>
                </c:pt>
                <c:pt idx="1">
                  <c:v>6.2824</c:v>
                </c:pt>
                <c:pt idx="2">
                  <c:v>10.0289</c:v>
                </c:pt>
                <c:pt idx="3">
                  <c:v>16.255500000000001</c:v>
                </c:pt>
                <c:pt idx="4">
                  <c:v>29.216699999999999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2-4015-A3B5-675C78D1131E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Table!$F$342:$F$346</c:f>
              <c:numCache>
                <c:formatCode>General</c:formatCode>
                <c:ptCount val="5"/>
                <c:pt idx="0">
                  <c:v>3.3159999999999998</c:v>
                </c:pt>
                <c:pt idx="1">
                  <c:v>5.2778999999999998</c:v>
                </c:pt>
                <c:pt idx="2">
                  <c:v>8.7858000000000001</c:v>
                </c:pt>
                <c:pt idx="3">
                  <c:v>13.8695</c:v>
                </c:pt>
                <c:pt idx="4">
                  <c:v>24.112300000000001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C2-4015-A3B5-675C78D1131E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Table!$F$347:$F$351</c:f>
              <c:numCache>
                <c:formatCode>General</c:formatCode>
                <c:ptCount val="5"/>
                <c:pt idx="0">
                  <c:v>2.7023000000000001</c:v>
                </c:pt>
                <c:pt idx="1">
                  <c:v>4.3076999999999996</c:v>
                </c:pt>
                <c:pt idx="2">
                  <c:v>7.2686000000000002</c:v>
                </c:pt>
                <c:pt idx="3">
                  <c:v>11.6875</c:v>
                </c:pt>
                <c:pt idx="4">
                  <c:v>19.601900000000001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C2-4015-A3B5-675C78D1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19551"/>
        <c:axId val="993673199"/>
      </c:lineChart>
      <c:catAx>
        <c:axId val="63631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73199"/>
        <c:crosses val="autoZero"/>
        <c:auto val="1"/>
        <c:lblAlgn val="ctr"/>
        <c:lblOffset val="100"/>
        <c:noMultiLvlLbl val="0"/>
      </c:catAx>
      <c:valAx>
        <c:axId val="99367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1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Table!$G$327:$G$331</c:f>
              <c:numCache>
                <c:formatCode>General</c:formatCode>
                <c:ptCount val="5"/>
                <c:pt idx="0">
                  <c:v>0.99299999999999999</c:v>
                </c:pt>
                <c:pt idx="1">
                  <c:v>2.4</c:v>
                </c:pt>
                <c:pt idx="2">
                  <c:v>5.4610000000000003</c:v>
                </c:pt>
                <c:pt idx="3">
                  <c:v>13.03</c:v>
                </c:pt>
                <c:pt idx="4">
                  <c:v>33.417000000000002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B-4F7D-A238-2E8B15FC4603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Table!$G$332:$G$336</c:f>
              <c:numCache>
                <c:formatCode>General</c:formatCode>
                <c:ptCount val="5"/>
                <c:pt idx="0">
                  <c:v>0.874</c:v>
                </c:pt>
                <c:pt idx="1">
                  <c:v>2.0419999999999998</c:v>
                </c:pt>
                <c:pt idx="2">
                  <c:v>4.9400000000000004</c:v>
                </c:pt>
                <c:pt idx="3">
                  <c:v>11.545999999999999</c:v>
                </c:pt>
                <c:pt idx="4">
                  <c:v>29.818999999999999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B-4F7D-A238-2E8B15FC4603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Table!$G$337:$G$341</c:f>
              <c:numCache>
                <c:formatCode>General</c:formatCode>
                <c:ptCount val="5"/>
                <c:pt idx="0">
                  <c:v>0.68500000000000005</c:v>
                </c:pt>
                <c:pt idx="1">
                  <c:v>1.851</c:v>
                </c:pt>
                <c:pt idx="2">
                  <c:v>4.5960000000000001</c:v>
                </c:pt>
                <c:pt idx="3">
                  <c:v>10.039</c:v>
                </c:pt>
                <c:pt idx="4">
                  <c:v>25.059000000000001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B-4F7D-A238-2E8B15FC4603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Table!$G$342:$G$346</c:f>
              <c:numCache>
                <c:formatCode>General</c:formatCode>
                <c:ptCount val="5"/>
                <c:pt idx="0">
                  <c:v>0.47099999999999997</c:v>
                </c:pt>
                <c:pt idx="1">
                  <c:v>1.4</c:v>
                </c:pt>
                <c:pt idx="2">
                  <c:v>3.7669999999999999</c:v>
                </c:pt>
                <c:pt idx="3">
                  <c:v>8.6940000000000008</c:v>
                </c:pt>
                <c:pt idx="4">
                  <c:v>20.329000000000001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9B-4F7D-A238-2E8B15FC460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Table!$G$347:$G$351</c:f>
              <c:numCache>
                <c:formatCode>General</c:formatCode>
                <c:ptCount val="5"/>
                <c:pt idx="0">
                  <c:v>0.13800000000000001</c:v>
                </c:pt>
                <c:pt idx="1">
                  <c:v>0.88300000000000001</c:v>
                </c:pt>
                <c:pt idx="2">
                  <c:v>2.823</c:v>
                </c:pt>
                <c:pt idx="3">
                  <c:v>7.1020000000000003</c:v>
                </c:pt>
                <c:pt idx="4">
                  <c:v>17.27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9B-4F7D-A238-2E8B15FC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52351"/>
        <c:axId val="948761807"/>
      </c:lineChart>
      <c:catAx>
        <c:axId val="9986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61807"/>
        <c:crosses val="autoZero"/>
        <c:auto val="1"/>
        <c:lblAlgn val="ctr"/>
        <c:lblOffset val="100"/>
        <c:noMultiLvlLbl val="0"/>
      </c:catAx>
      <c:valAx>
        <c:axId val="9487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Table!$H$327:$H$331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46.503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A-4AB1-9A64-A1665840206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Table!$H$332:$H$336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41.296999999999997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A-4AB1-9A64-A1665840206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Table!$H$337:$H$341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31.966000000000001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A-4AB1-9A64-A1665840206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Table!$H$342:$H$346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24.1523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A-4AB1-9A64-A1665840206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Table!$E$342:$E$346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Table!$H$347:$H$351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17.440999999999999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BA-4AB1-9A64-A1665840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75983"/>
        <c:axId val="775029087"/>
      </c:lineChart>
      <c:catAx>
        <c:axId val="88457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29087"/>
        <c:crosses val="autoZero"/>
        <c:auto val="1"/>
        <c:lblAlgn val="ctr"/>
        <c:lblOffset val="100"/>
        <c:noMultiLvlLbl val="0"/>
      </c:catAx>
      <c:valAx>
        <c:axId val="7750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Table!$E$367:$E$371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Table!$F$352:$F$356</c:f>
              <c:numCache>
                <c:formatCode>General</c:formatCode>
                <c:ptCount val="5"/>
                <c:pt idx="0">
                  <c:v>4.9577999999999998</c:v>
                </c:pt>
                <c:pt idx="1">
                  <c:v>7.4579000000000004</c:v>
                </c:pt>
                <c:pt idx="2">
                  <c:v>11.2661</c:v>
                </c:pt>
                <c:pt idx="3">
                  <c:v>17.8992</c:v>
                </c:pt>
                <c:pt idx="4">
                  <c:v>31.311599999999999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5-46FE-864E-A15A13BE4262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Table!$E$367:$E$371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Table!$F$357:$F$361</c:f>
              <c:numCache>
                <c:formatCode>General</c:formatCode>
                <c:ptCount val="5"/>
                <c:pt idx="0">
                  <c:v>4.4774000000000003</c:v>
                </c:pt>
                <c:pt idx="1">
                  <c:v>7.0364000000000004</c:v>
                </c:pt>
                <c:pt idx="2">
                  <c:v>10.565200000000001</c:v>
                </c:pt>
                <c:pt idx="3">
                  <c:v>16.6784</c:v>
                </c:pt>
                <c:pt idx="4">
                  <c:v>28.880600000000001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5-46FE-864E-A15A13BE4262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Table!$E$367:$E$371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Table!$F$362:$F$366</c:f>
              <c:numCache>
                <c:formatCode>General</c:formatCode>
                <c:ptCount val="5"/>
                <c:pt idx="0">
                  <c:v>3.9253</c:v>
                </c:pt>
                <c:pt idx="1">
                  <c:v>6.2754000000000003</c:v>
                </c:pt>
                <c:pt idx="2">
                  <c:v>9.4515999999999991</c:v>
                </c:pt>
                <c:pt idx="3">
                  <c:v>14.5747</c:v>
                </c:pt>
                <c:pt idx="4">
                  <c:v>24.397099999999998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5-46FE-864E-A15A13BE4262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Table!$E$367:$E$371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Table!$F$367:$F$371</c:f>
              <c:numCache>
                <c:formatCode>General</c:formatCode>
                <c:ptCount val="5"/>
                <c:pt idx="0">
                  <c:v>3.3149999999999999</c:v>
                </c:pt>
                <c:pt idx="1">
                  <c:v>5.2803000000000004</c:v>
                </c:pt>
                <c:pt idx="2">
                  <c:v>8.3446999999999996</c:v>
                </c:pt>
                <c:pt idx="3">
                  <c:v>12.559699999999999</c:v>
                </c:pt>
                <c:pt idx="4">
                  <c:v>20.322500000000002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35-46FE-864E-A15A13BE4262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Table!$E$367:$E$371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Table!$F$372:$F$376</c:f>
              <c:numCache>
                <c:formatCode>General</c:formatCode>
                <c:ptCount val="5"/>
                <c:pt idx="0">
                  <c:v>2.7017000000000002</c:v>
                </c:pt>
                <c:pt idx="1">
                  <c:v>4.2942</c:v>
                </c:pt>
                <c:pt idx="2">
                  <c:v>7.2539999999999996</c:v>
                </c:pt>
                <c:pt idx="3">
                  <c:v>10.7224</c:v>
                </c:pt>
                <c:pt idx="4">
                  <c:v>16.790700000000001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35-46FE-864E-A15A13BE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24831"/>
        <c:axId val="1145912847"/>
      </c:lineChart>
      <c:catAx>
        <c:axId val="63632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12847"/>
        <c:crosses val="autoZero"/>
        <c:auto val="1"/>
        <c:lblAlgn val="ctr"/>
        <c:lblOffset val="100"/>
        <c:noMultiLvlLbl val="0"/>
      </c:catAx>
      <c:valAx>
        <c:axId val="11459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2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Table!$E$362:$E$366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Table!$G$352:$G$356</c:f>
              <c:numCache>
                <c:formatCode>General</c:formatCode>
                <c:ptCount val="5"/>
                <c:pt idx="0">
                  <c:v>1.0309999999999999</c:v>
                </c:pt>
                <c:pt idx="1">
                  <c:v>2.4079999999999999</c:v>
                </c:pt>
                <c:pt idx="2">
                  <c:v>4.9669999999999996</c:v>
                </c:pt>
                <c:pt idx="3">
                  <c:v>11.303000000000001</c:v>
                </c:pt>
                <c:pt idx="4">
                  <c:v>26.748000000000001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0-4335-891F-86FBC501F40E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Table!$E$362:$E$366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Table!$G$357:$G$361</c:f>
              <c:numCache>
                <c:formatCode>General</c:formatCode>
                <c:ptCount val="5"/>
                <c:pt idx="0">
                  <c:v>0.94799999999999995</c:v>
                </c:pt>
                <c:pt idx="1">
                  <c:v>2.0739999999999998</c:v>
                </c:pt>
                <c:pt idx="2">
                  <c:v>4.6289999999999996</c:v>
                </c:pt>
                <c:pt idx="3">
                  <c:v>10.553000000000001</c:v>
                </c:pt>
                <c:pt idx="4">
                  <c:v>25.189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0-4335-891F-86FBC501F40E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Table!$E$362:$E$366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Table!$G$362:$G$366</c:f>
              <c:numCache>
                <c:formatCode>General</c:formatCode>
                <c:ptCount val="5"/>
                <c:pt idx="0">
                  <c:v>0.71699999999999997</c:v>
                </c:pt>
                <c:pt idx="1">
                  <c:v>1.901</c:v>
                </c:pt>
                <c:pt idx="2">
                  <c:v>4.1840000000000002</c:v>
                </c:pt>
                <c:pt idx="3">
                  <c:v>9.0530000000000008</c:v>
                </c:pt>
                <c:pt idx="4">
                  <c:v>19.971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0-4335-891F-86FBC501F40E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Table!$E$362:$E$366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Table!$G$367:$G$371</c:f>
              <c:numCache>
                <c:formatCode>General</c:formatCode>
                <c:ptCount val="5"/>
                <c:pt idx="0">
                  <c:v>0.49199999999999999</c:v>
                </c:pt>
                <c:pt idx="1">
                  <c:v>1.3440000000000001</c:v>
                </c:pt>
                <c:pt idx="2">
                  <c:v>3.625</c:v>
                </c:pt>
                <c:pt idx="3">
                  <c:v>7.75</c:v>
                </c:pt>
                <c:pt idx="4">
                  <c:v>17.681000000000001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0-4335-891F-86FBC501F40E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Table!$E$362:$E$366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Table!$G$372:$G$376</c:f>
              <c:numCache>
                <c:formatCode>General</c:formatCode>
                <c:ptCount val="5"/>
                <c:pt idx="0">
                  <c:v>0.14299999999999999</c:v>
                </c:pt>
                <c:pt idx="1">
                  <c:v>0.94499999999999995</c:v>
                </c:pt>
                <c:pt idx="2">
                  <c:v>2.8919999999999999</c:v>
                </c:pt>
                <c:pt idx="3">
                  <c:v>6.5190000000000001</c:v>
                </c:pt>
                <c:pt idx="4">
                  <c:v>14.262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0-4335-891F-86FBC501F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42591"/>
        <c:axId val="1145878623"/>
      </c:lineChart>
      <c:catAx>
        <c:axId val="6363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78623"/>
        <c:crosses val="autoZero"/>
        <c:auto val="1"/>
        <c:lblAlgn val="ctr"/>
        <c:lblOffset val="100"/>
        <c:noMultiLvlLbl val="0"/>
      </c:catAx>
      <c:valAx>
        <c:axId val="11458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572623"/>
        <c:axId val="1145877631"/>
      </c:lineChart>
      <c:catAx>
        <c:axId val="884572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77631"/>
        <c:crosses val="autoZero"/>
        <c:auto val="1"/>
        <c:lblAlgn val="ctr"/>
        <c:lblOffset val="100"/>
        <c:noMultiLvlLbl val="0"/>
      </c:catAx>
      <c:valAx>
        <c:axId val="11458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Table!$F$377:$F$381</c:f>
              <c:numCache>
                <c:formatCode>General</c:formatCode>
                <c:ptCount val="5"/>
                <c:pt idx="0">
                  <c:v>4.9782999999999999</c:v>
                </c:pt>
                <c:pt idx="1">
                  <c:v>8.14</c:v>
                </c:pt>
                <c:pt idx="2">
                  <c:v>14.552300000000001</c:v>
                </c:pt>
                <c:pt idx="3">
                  <c:v>29.528400000000001</c:v>
                </c:pt>
                <c:pt idx="4">
                  <c:v>73.069100000000006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8-452E-AAC0-8548D510EF8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Table!$F$382:$F$386</c:f>
              <c:numCache>
                <c:formatCode>General</c:formatCode>
                <c:ptCount val="5"/>
                <c:pt idx="0">
                  <c:v>4.4984000000000002</c:v>
                </c:pt>
                <c:pt idx="1">
                  <c:v>7.2698999999999998</c:v>
                </c:pt>
                <c:pt idx="2">
                  <c:v>12.763299999999999</c:v>
                </c:pt>
                <c:pt idx="3">
                  <c:v>25.369299999999999</c:v>
                </c:pt>
                <c:pt idx="4">
                  <c:v>61.029000000000003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8-452E-AAC0-8548D510EF8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Table!$F$387:$F$391</c:f>
              <c:numCache>
                <c:formatCode>General</c:formatCode>
                <c:ptCount val="5"/>
                <c:pt idx="0">
                  <c:v>3.9363000000000001</c:v>
                </c:pt>
                <c:pt idx="1">
                  <c:v>6.3010999999999999</c:v>
                </c:pt>
                <c:pt idx="2">
                  <c:v>10.8926</c:v>
                </c:pt>
                <c:pt idx="3">
                  <c:v>21.150099999999998</c:v>
                </c:pt>
                <c:pt idx="4">
                  <c:v>49.336599999999997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8-452E-AAC0-8548D510EF8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Table!$F$392:$F$396</c:f>
              <c:numCache>
                <c:formatCode>General</c:formatCode>
                <c:ptCount val="5"/>
                <c:pt idx="0">
                  <c:v>3.3281999999999998</c:v>
                </c:pt>
                <c:pt idx="1">
                  <c:v>5.2998000000000003</c:v>
                </c:pt>
                <c:pt idx="2">
                  <c:v>9.0496999999999996</c:v>
                </c:pt>
                <c:pt idx="3">
                  <c:v>17.226099999999999</c:v>
                </c:pt>
                <c:pt idx="4">
                  <c:v>38.8919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A8-452E-AAC0-8548D510EF8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Table!$F$397:$F$401</c:f>
              <c:numCache>
                <c:formatCode>General</c:formatCode>
                <c:ptCount val="5"/>
                <c:pt idx="0">
                  <c:v>2.7081</c:v>
                </c:pt>
                <c:pt idx="1">
                  <c:v>4.3150000000000004</c:v>
                </c:pt>
                <c:pt idx="2">
                  <c:v>7.3061999999999996</c:v>
                </c:pt>
                <c:pt idx="3">
                  <c:v>13.6746</c:v>
                </c:pt>
                <c:pt idx="4">
                  <c:v>30.049600000000002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A8-452E-AAC0-8548D510E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792239"/>
        <c:axId val="1145906895"/>
      </c:lineChart>
      <c:catAx>
        <c:axId val="77979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06895"/>
        <c:crosses val="autoZero"/>
        <c:auto val="1"/>
        <c:lblAlgn val="ctr"/>
        <c:lblOffset val="100"/>
        <c:noMultiLvlLbl val="0"/>
      </c:catAx>
      <c:valAx>
        <c:axId val="11459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9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Table!$G$377:$G$381</c:f>
              <c:numCache>
                <c:formatCode>General</c:formatCode>
                <c:ptCount val="5"/>
                <c:pt idx="0">
                  <c:v>0.98699999999999999</c:v>
                </c:pt>
                <c:pt idx="1">
                  <c:v>2.5630000000000002</c:v>
                </c:pt>
                <c:pt idx="2">
                  <c:v>6.4770000000000039</c:v>
                </c:pt>
                <c:pt idx="3">
                  <c:v>18.213999999999999</c:v>
                </c:pt>
                <c:pt idx="4">
                  <c:v>61.731999999999971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8-47F0-A6F0-427BFAD8F52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Table!$G$382:$G$386</c:f>
              <c:numCache>
                <c:formatCode>General</c:formatCode>
                <c:ptCount val="5"/>
                <c:pt idx="0">
                  <c:v>0.88900000000000001</c:v>
                </c:pt>
                <c:pt idx="1">
                  <c:v>2.173</c:v>
                </c:pt>
                <c:pt idx="2">
                  <c:v>5.6459999999999999</c:v>
                </c:pt>
                <c:pt idx="3">
                  <c:v>15.584</c:v>
                </c:pt>
                <c:pt idx="4">
                  <c:v>52.65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8-47F0-A6F0-427BFAD8F52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Table!$G$387:$G$391</c:f>
              <c:numCache>
                <c:formatCode>General</c:formatCode>
                <c:ptCount val="5"/>
                <c:pt idx="0">
                  <c:v>0.70899999999999996</c:v>
                </c:pt>
                <c:pt idx="1">
                  <c:v>1.8109999999999999</c:v>
                </c:pt>
                <c:pt idx="2">
                  <c:v>4.6130000000000004</c:v>
                </c:pt>
                <c:pt idx="3">
                  <c:v>12.76</c:v>
                </c:pt>
                <c:pt idx="4">
                  <c:v>41.927999999999997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8-47F0-A6F0-427BFAD8F52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Table!$G$392:$G$396</c:f>
              <c:numCache>
                <c:formatCode>General</c:formatCode>
                <c:ptCount val="5"/>
                <c:pt idx="0">
                  <c:v>0.48399999999999999</c:v>
                </c:pt>
                <c:pt idx="1">
                  <c:v>1.387</c:v>
                </c:pt>
                <c:pt idx="2">
                  <c:v>3.7749999999999999</c:v>
                </c:pt>
                <c:pt idx="3">
                  <c:v>10.308999999999999</c:v>
                </c:pt>
                <c:pt idx="4">
                  <c:v>33.006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68-47F0-A6F0-427BFAD8F52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Table!$G$397:$G$401</c:f>
              <c:numCache>
                <c:formatCode>General</c:formatCode>
                <c:ptCount val="5"/>
                <c:pt idx="0">
                  <c:v>0.187</c:v>
                </c:pt>
                <c:pt idx="1">
                  <c:v>0.96699999999999997</c:v>
                </c:pt>
                <c:pt idx="2">
                  <c:v>2.85</c:v>
                </c:pt>
                <c:pt idx="3">
                  <c:v>8.0679999999999996</c:v>
                </c:pt>
                <c:pt idx="4">
                  <c:v>25.094999999999999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68-47F0-A6F0-427BFAD8F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48239"/>
        <c:axId val="1145862255"/>
      </c:lineChart>
      <c:catAx>
        <c:axId val="9550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2255"/>
        <c:crosses val="autoZero"/>
        <c:auto val="1"/>
        <c:lblAlgn val="ctr"/>
        <c:lblOffset val="100"/>
        <c:noMultiLvlLbl val="0"/>
      </c:catAx>
      <c:valAx>
        <c:axId val="11458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Table!$H$377:$H$381</c:f>
              <c:numCache>
                <c:formatCode>General</c:formatCode>
                <c:ptCount val="5"/>
                <c:pt idx="0">
                  <c:v>0</c:v>
                </c:pt>
                <c:pt idx="1">
                  <c:v>1.6020000000000001</c:v>
                </c:pt>
                <c:pt idx="2">
                  <c:v>2.9350000000000001</c:v>
                </c:pt>
                <c:pt idx="3">
                  <c:v>14.13</c:v>
                </c:pt>
                <c:pt idx="4">
                  <c:v>80.325999999999993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6-4A1D-8135-F2F5A8757C33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Table!$H$382:$H$386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2.113</c:v>
                </c:pt>
                <c:pt idx="3">
                  <c:v>11.057600000000001</c:v>
                </c:pt>
                <c:pt idx="4">
                  <c:v>61.658000000000001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C6-4A1D-8135-F2F5A8757C33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Table!$H$387:$H$391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8.1950000000000003</c:v>
                </c:pt>
                <c:pt idx="4">
                  <c:v>44.015999999999998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C6-4A1D-8135-F2F5A8757C33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Table!$H$392:$H$396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5.6459999999999999</c:v>
                </c:pt>
                <c:pt idx="4">
                  <c:v>30.029699999999998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C6-4A1D-8135-F2F5A8757C3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Table!$E$392:$E$396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Table!$H$397:$H$401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1.9970000000000001</c:v>
                </c:pt>
                <c:pt idx="4">
                  <c:v>19.405000000000001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C6-4A1D-8135-F2F5A875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685215"/>
        <c:axId val="1214082751"/>
      </c:lineChart>
      <c:catAx>
        <c:axId val="95368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82751"/>
        <c:crosses val="autoZero"/>
        <c:auto val="1"/>
        <c:lblAlgn val="ctr"/>
        <c:lblOffset val="100"/>
        <c:noMultiLvlLbl val="0"/>
      </c:catAx>
      <c:valAx>
        <c:axId val="12140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8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Table!$E$417:$E$421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Table!$F$402:$F$406</c:f>
              <c:numCache>
                <c:formatCode>General</c:formatCode>
                <c:ptCount val="5"/>
                <c:pt idx="0">
                  <c:v>4.9598000000000004</c:v>
                </c:pt>
                <c:pt idx="1">
                  <c:v>8.1303999999999998</c:v>
                </c:pt>
                <c:pt idx="2">
                  <c:v>14.4901</c:v>
                </c:pt>
                <c:pt idx="3">
                  <c:v>27.393000000000001</c:v>
                </c:pt>
                <c:pt idx="4">
                  <c:v>60.802999999999997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9-4D98-AF28-41C2E5878190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Table!$E$417:$E$421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Table!$F$407:$F$411</c:f>
              <c:numCache>
                <c:formatCode>General</c:formatCode>
                <c:ptCount val="5"/>
                <c:pt idx="0">
                  <c:v>4.4856999999999996</c:v>
                </c:pt>
                <c:pt idx="1">
                  <c:v>7.2542999999999997</c:v>
                </c:pt>
                <c:pt idx="2">
                  <c:v>12.7171</c:v>
                </c:pt>
                <c:pt idx="3">
                  <c:v>24.1066</c:v>
                </c:pt>
                <c:pt idx="4">
                  <c:v>52.375799999999998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9-4D98-AF28-41C2E5878190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Table!$E$417:$E$421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Table!$F$412:$F$416</c:f>
              <c:numCache>
                <c:formatCode>General</c:formatCode>
                <c:ptCount val="5"/>
                <c:pt idx="0">
                  <c:v>3.9357000000000002</c:v>
                </c:pt>
                <c:pt idx="1">
                  <c:v>6.2972999999999999</c:v>
                </c:pt>
                <c:pt idx="2">
                  <c:v>10.879300000000001</c:v>
                </c:pt>
                <c:pt idx="3">
                  <c:v>20.527699999999999</c:v>
                </c:pt>
                <c:pt idx="4">
                  <c:v>43.203400000000002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9-4D98-AF28-41C2E5878190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Table!$E$417:$E$421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Table!$F$417:$F$421</c:f>
              <c:numCache>
                <c:formatCode>General</c:formatCode>
                <c:ptCount val="5"/>
                <c:pt idx="0">
                  <c:v>3.3241000000000001</c:v>
                </c:pt>
                <c:pt idx="1">
                  <c:v>5.2869999999999999</c:v>
                </c:pt>
                <c:pt idx="2">
                  <c:v>9.0189000000000004</c:v>
                </c:pt>
                <c:pt idx="3">
                  <c:v>17.099699999999999</c:v>
                </c:pt>
                <c:pt idx="4">
                  <c:v>34.715200000000003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29-4D98-AF28-41C2E5878190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Table!$E$417:$E$421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Table!$F$422:$F$426</c:f>
              <c:numCache>
                <c:formatCode>General</c:formatCode>
                <c:ptCount val="5"/>
                <c:pt idx="0">
                  <c:v>2.7033999999999998</c:v>
                </c:pt>
                <c:pt idx="1">
                  <c:v>4.3038999999999996</c:v>
                </c:pt>
                <c:pt idx="2">
                  <c:v>7.2850999999999999</c:v>
                </c:pt>
                <c:pt idx="3">
                  <c:v>13.6051</c:v>
                </c:pt>
                <c:pt idx="4">
                  <c:v>27.658999999999999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29-4D98-AF28-41C2E5878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686175"/>
        <c:axId val="1214071839"/>
      </c:lineChart>
      <c:catAx>
        <c:axId val="9536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71839"/>
        <c:crosses val="autoZero"/>
        <c:auto val="1"/>
        <c:lblAlgn val="ctr"/>
        <c:lblOffset val="100"/>
        <c:noMultiLvlLbl val="0"/>
      </c:catAx>
      <c:valAx>
        <c:axId val="121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8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Table!$G$402:$G$406</c:f>
              <c:numCache>
                <c:formatCode>General</c:formatCode>
                <c:ptCount val="5"/>
                <c:pt idx="0">
                  <c:v>0.97699999999999998</c:v>
                </c:pt>
                <c:pt idx="1">
                  <c:v>2.452</c:v>
                </c:pt>
                <c:pt idx="2">
                  <c:v>6.3630000000000004</c:v>
                </c:pt>
                <c:pt idx="3">
                  <c:v>17.088000000000001</c:v>
                </c:pt>
                <c:pt idx="4">
                  <c:v>55.101999999999997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3-4603-9A5A-8559A859E29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Table!$G$407:$G$411</c:f>
              <c:numCache>
                <c:formatCode>General</c:formatCode>
                <c:ptCount val="5"/>
                <c:pt idx="0">
                  <c:v>0.89500000000000002</c:v>
                </c:pt>
                <c:pt idx="1">
                  <c:v>2.0630000000000002</c:v>
                </c:pt>
                <c:pt idx="2">
                  <c:v>5.4560000000000004</c:v>
                </c:pt>
                <c:pt idx="3">
                  <c:v>14.07</c:v>
                </c:pt>
                <c:pt idx="4">
                  <c:v>45.683999999999997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3-4603-9A5A-8559A859E29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Table!$G$412:$G$416</c:f>
              <c:numCache>
                <c:formatCode>General</c:formatCode>
                <c:ptCount val="5"/>
                <c:pt idx="0">
                  <c:v>0.74299999999999999</c:v>
                </c:pt>
                <c:pt idx="1">
                  <c:v>1.7709999999999999</c:v>
                </c:pt>
                <c:pt idx="2">
                  <c:v>4.47</c:v>
                </c:pt>
                <c:pt idx="3">
                  <c:v>12.488</c:v>
                </c:pt>
                <c:pt idx="4">
                  <c:v>35.776000000000003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D3-4603-9A5A-8559A859E29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Table!$G$417:$G$421</c:f>
              <c:numCache>
                <c:formatCode>General</c:formatCode>
                <c:ptCount val="5"/>
                <c:pt idx="0">
                  <c:v>0.41</c:v>
                </c:pt>
                <c:pt idx="1">
                  <c:v>1.3440000000000001</c:v>
                </c:pt>
                <c:pt idx="2">
                  <c:v>3.8340000000000001</c:v>
                </c:pt>
                <c:pt idx="3">
                  <c:v>10.515000000000001</c:v>
                </c:pt>
                <c:pt idx="4">
                  <c:v>29.183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D3-4603-9A5A-8559A859E29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Table!$G$422:$G$426</c:f>
              <c:numCache>
                <c:formatCode>General</c:formatCode>
                <c:ptCount val="5"/>
                <c:pt idx="0">
                  <c:v>0.152</c:v>
                </c:pt>
                <c:pt idx="1">
                  <c:v>0.91900000000000004</c:v>
                </c:pt>
                <c:pt idx="2">
                  <c:v>2.7469999999999999</c:v>
                </c:pt>
                <c:pt idx="3">
                  <c:v>7.8029999999999999</c:v>
                </c:pt>
                <c:pt idx="4">
                  <c:v>23.385000000000002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D3-4603-9A5A-8559A859E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60031"/>
        <c:axId val="950348543"/>
      </c:lineChart>
      <c:catAx>
        <c:axId val="99866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48543"/>
        <c:crosses val="autoZero"/>
        <c:auto val="1"/>
        <c:lblAlgn val="ctr"/>
        <c:lblOffset val="100"/>
        <c:noMultiLvlLbl val="0"/>
      </c:catAx>
      <c:valAx>
        <c:axId val="95034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Table!$H$402:$H$406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0.504</c:v>
                </c:pt>
                <c:pt idx="3">
                  <c:v>12.981</c:v>
                </c:pt>
                <c:pt idx="4">
                  <c:v>70.733000000000004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B-48B9-9F1C-984FEB9218D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Table!$H$407:$H$411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10.483000000000001</c:v>
                </c:pt>
                <c:pt idx="4">
                  <c:v>58.177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B-48B9-9F1C-984FEB9218D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Table!$H$412:$H$416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7.8440000000000003</c:v>
                </c:pt>
                <c:pt idx="4">
                  <c:v>42.320999999999998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CB-48B9-9F1C-984FEB9218D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Table!$H$417:$H$421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2.4235000000000002</c:v>
                </c:pt>
                <c:pt idx="4">
                  <c:v>28.893000000000001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CB-48B9-9F1C-984FEB9218D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Table!$E$412:$E$416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Table!$H$422:$H$426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CB-48B9-9F1C-984FEB921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57631"/>
        <c:axId val="950373343"/>
      </c:lineChart>
      <c:catAx>
        <c:axId val="9986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73343"/>
        <c:crosses val="autoZero"/>
        <c:auto val="1"/>
        <c:lblAlgn val="ctr"/>
        <c:lblOffset val="100"/>
        <c:noMultiLvlLbl val="0"/>
      </c:catAx>
      <c:valAx>
        <c:axId val="9503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Table!$F$427:$F$431</c:f>
              <c:numCache>
                <c:formatCode>General</c:formatCode>
                <c:ptCount val="5"/>
                <c:pt idx="0">
                  <c:v>4.9664000000000001</c:v>
                </c:pt>
                <c:pt idx="1">
                  <c:v>8.1231000000000009</c:v>
                </c:pt>
                <c:pt idx="2">
                  <c:v>14.092000000000001</c:v>
                </c:pt>
                <c:pt idx="3">
                  <c:v>24.981000000000002</c:v>
                </c:pt>
                <c:pt idx="4">
                  <c:v>50.735399999999998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4-401A-B782-00DC763EED0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Table!$F$432:$F$436</c:f>
              <c:numCache>
                <c:formatCode>General</c:formatCode>
                <c:ptCount val="5"/>
                <c:pt idx="0">
                  <c:v>4.4874999999999998</c:v>
                </c:pt>
                <c:pt idx="1">
                  <c:v>7.2442000000000002</c:v>
                </c:pt>
                <c:pt idx="2">
                  <c:v>12.6981</c:v>
                </c:pt>
                <c:pt idx="3">
                  <c:v>22.489899999999999</c:v>
                </c:pt>
                <c:pt idx="4">
                  <c:v>45.1143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4-401A-B782-00DC763EED0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Table!$F$437:$F$441</c:f>
              <c:numCache>
                <c:formatCode>General</c:formatCode>
                <c:ptCount val="5"/>
                <c:pt idx="0">
                  <c:v>3.9272</c:v>
                </c:pt>
                <c:pt idx="1">
                  <c:v>6.2884000000000002</c:v>
                </c:pt>
                <c:pt idx="2">
                  <c:v>10.823</c:v>
                </c:pt>
                <c:pt idx="3">
                  <c:v>19.410599999999999</c:v>
                </c:pt>
                <c:pt idx="4">
                  <c:v>37.5428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F4-401A-B782-00DC763EED0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Table!$F$442:$F$446</c:f>
              <c:numCache>
                <c:formatCode>General</c:formatCode>
                <c:ptCount val="5"/>
                <c:pt idx="0">
                  <c:v>3.3220999999999998</c:v>
                </c:pt>
                <c:pt idx="1">
                  <c:v>5.2896999999999998</c:v>
                </c:pt>
                <c:pt idx="2">
                  <c:v>9.0132999999999992</c:v>
                </c:pt>
                <c:pt idx="3">
                  <c:v>16.519500000000001</c:v>
                </c:pt>
                <c:pt idx="4">
                  <c:v>30.831199999999999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F4-401A-B782-00DC763EED0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Table!$F$447:$F$451</c:f>
              <c:numCache>
                <c:formatCode>General</c:formatCode>
                <c:ptCount val="5"/>
                <c:pt idx="0">
                  <c:v>2.7058</c:v>
                </c:pt>
                <c:pt idx="1">
                  <c:v>4.2988999999999997</c:v>
                </c:pt>
                <c:pt idx="2">
                  <c:v>7.2858000000000001</c:v>
                </c:pt>
                <c:pt idx="3">
                  <c:v>13.555199999999999</c:v>
                </c:pt>
                <c:pt idx="4">
                  <c:v>24.967700000000001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F4-401A-B782-00DC763E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65791"/>
        <c:axId val="950371855"/>
      </c:lineChart>
      <c:catAx>
        <c:axId val="99866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71855"/>
        <c:crosses val="autoZero"/>
        <c:auto val="1"/>
        <c:lblAlgn val="ctr"/>
        <c:lblOffset val="100"/>
        <c:noMultiLvlLbl val="0"/>
      </c:catAx>
      <c:valAx>
        <c:axId val="9503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6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Table!$E$442:$E$446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Table!$G$427:$G$431</c:f>
              <c:numCache>
                <c:formatCode>General</c:formatCode>
                <c:ptCount val="5"/>
                <c:pt idx="0">
                  <c:v>0.98399999999999999</c:v>
                </c:pt>
                <c:pt idx="1">
                  <c:v>2.4350000000000001</c:v>
                </c:pt>
                <c:pt idx="2">
                  <c:v>6.3289999999999997</c:v>
                </c:pt>
                <c:pt idx="3">
                  <c:v>15.223000000000001</c:v>
                </c:pt>
                <c:pt idx="4">
                  <c:v>45.503999999999998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2-4D9E-9EB2-0E9CBF6A1E6E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Table!$E$442:$E$446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Table!$G$432:$G$436</c:f>
              <c:numCache>
                <c:formatCode>General</c:formatCode>
                <c:ptCount val="5"/>
                <c:pt idx="0">
                  <c:v>0.90100000000000002</c:v>
                </c:pt>
                <c:pt idx="1">
                  <c:v>2.2040000000000002</c:v>
                </c:pt>
                <c:pt idx="2">
                  <c:v>5.7190000000000003</c:v>
                </c:pt>
                <c:pt idx="3">
                  <c:v>14.06</c:v>
                </c:pt>
                <c:pt idx="4">
                  <c:v>37.918999999999997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2-4D9E-9EB2-0E9CBF6A1E6E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Table!$E$442:$E$446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Table!$G$437:$G$441</c:f>
              <c:numCache>
                <c:formatCode>General</c:formatCode>
                <c:ptCount val="5"/>
                <c:pt idx="0">
                  <c:v>0.73399999999999999</c:v>
                </c:pt>
                <c:pt idx="1">
                  <c:v>1.841</c:v>
                </c:pt>
                <c:pt idx="2">
                  <c:v>4.8719999999999999</c:v>
                </c:pt>
                <c:pt idx="3">
                  <c:v>11.539</c:v>
                </c:pt>
                <c:pt idx="4">
                  <c:v>32.878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22-4D9E-9EB2-0E9CBF6A1E6E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Table!$E$442:$E$446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Table!$G$442:$G$446</c:f>
              <c:numCache>
                <c:formatCode>General</c:formatCode>
                <c:ptCount val="5"/>
                <c:pt idx="0">
                  <c:v>0.433</c:v>
                </c:pt>
                <c:pt idx="1">
                  <c:v>1.401</c:v>
                </c:pt>
                <c:pt idx="2">
                  <c:v>3.637</c:v>
                </c:pt>
                <c:pt idx="3">
                  <c:v>9.9130000000000003</c:v>
                </c:pt>
                <c:pt idx="4">
                  <c:v>26.085000000000001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22-4D9E-9EB2-0E9CBF6A1E6E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Table!$E$442:$E$446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Table!$G$447:$G$451</c:f>
              <c:numCache>
                <c:formatCode>General</c:formatCode>
                <c:ptCount val="5"/>
                <c:pt idx="0">
                  <c:v>0.14899999999999999</c:v>
                </c:pt>
                <c:pt idx="1">
                  <c:v>0.99299999999999999</c:v>
                </c:pt>
                <c:pt idx="2">
                  <c:v>2.7589999999999999</c:v>
                </c:pt>
                <c:pt idx="3">
                  <c:v>7.9169999999999998</c:v>
                </c:pt>
                <c:pt idx="4">
                  <c:v>21.289000000000001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22-4D9E-9EB2-0E9CBF6A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318591"/>
        <c:axId val="1145883583"/>
      </c:lineChart>
      <c:catAx>
        <c:axId val="63631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83583"/>
        <c:crosses val="autoZero"/>
        <c:auto val="1"/>
        <c:lblAlgn val="ctr"/>
        <c:lblOffset val="100"/>
        <c:noMultiLvlLbl val="0"/>
      </c:catAx>
      <c:valAx>
        <c:axId val="11458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1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Table!$H$427:$H$431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2.5329999999999999</c:v>
                </c:pt>
                <c:pt idx="3">
                  <c:v>12.926</c:v>
                </c:pt>
                <c:pt idx="4">
                  <c:v>65.972999999999999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9-4310-8FC4-F96237A38661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Table!$H$432:$H$436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10.462</c:v>
                </c:pt>
                <c:pt idx="4">
                  <c:v>57.098399999999998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9-4310-8FC4-F96237A38661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Table!$H$437:$H$441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7.7430000000000003</c:v>
                </c:pt>
                <c:pt idx="4">
                  <c:v>41.103000000000002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9-4310-8FC4-F96237A38661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Table!$H$442:$H$446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3.2791999999999999</c:v>
                </c:pt>
                <c:pt idx="4">
                  <c:v>28.435600000000001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D9-4310-8FC4-F96237A38661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Table!$E$437:$E$441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Table!$H$447:$H$451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D9-4310-8FC4-F96237A38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184703"/>
        <c:axId val="737092687"/>
      </c:lineChart>
      <c:catAx>
        <c:axId val="63618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92687"/>
        <c:crosses val="autoZero"/>
        <c:auto val="1"/>
        <c:lblAlgn val="ctr"/>
        <c:lblOffset val="100"/>
        <c:noMultiLvlLbl val="0"/>
      </c:catAx>
      <c:valAx>
        <c:axId val="7370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8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Table!$F$452:$F$456</c:f>
              <c:numCache>
                <c:formatCode>General</c:formatCode>
                <c:ptCount val="5"/>
                <c:pt idx="0">
                  <c:v>4.9656000000000002</c:v>
                </c:pt>
                <c:pt idx="1">
                  <c:v>8.1272000000000002</c:v>
                </c:pt>
                <c:pt idx="2">
                  <c:v>13.3893</c:v>
                </c:pt>
                <c:pt idx="3">
                  <c:v>22.486499999999999</c:v>
                </c:pt>
                <c:pt idx="4">
                  <c:v>42.095100000000002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E-4BFC-8045-F0656363B49E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Table!$F$457:$F$461</c:f>
              <c:numCache>
                <c:formatCode>General</c:formatCode>
                <c:ptCount val="5"/>
                <c:pt idx="0">
                  <c:v>4.4781000000000004</c:v>
                </c:pt>
                <c:pt idx="1">
                  <c:v>7.2531999999999996</c:v>
                </c:pt>
                <c:pt idx="2">
                  <c:v>12.3688</c:v>
                </c:pt>
                <c:pt idx="3">
                  <c:v>20.660699999999999</c:v>
                </c:pt>
                <c:pt idx="4">
                  <c:v>38.633699999999997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E-4BFC-8045-F0656363B49E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Table!$F$462:$F$466</c:f>
              <c:numCache>
                <c:formatCode>General</c:formatCode>
                <c:ptCount val="5"/>
                <c:pt idx="0">
                  <c:v>3.9285999999999999</c:v>
                </c:pt>
                <c:pt idx="1">
                  <c:v>6.2904</c:v>
                </c:pt>
                <c:pt idx="2">
                  <c:v>10.837300000000001</c:v>
                </c:pt>
                <c:pt idx="3">
                  <c:v>18.0349</c:v>
                </c:pt>
                <c:pt idx="4">
                  <c:v>32.505099999999999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E-4BFC-8045-F0656363B49E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Table!$F$467:$F$471</c:f>
              <c:numCache>
                <c:formatCode>General</c:formatCode>
                <c:ptCount val="5"/>
                <c:pt idx="0">
                  <c:v>3.3187000000000002</c:v>
                </c:pt>
                <c:pt idx="1">
                  <c:v>5.2766999999999999</c:v>
                </c:pt>
                <c:pt idx="2">
                  <c:v>9.016</c:v>
                </c:pt>
                <c:pt idx="3">
                  <c:v>15.533200000000001</c:v>
                </c:pt>
                <c:pt idx="4">
                  <c:v>27.0029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DE-4BFC-8045-F0656363B49E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Table!$F$472:$F$476</c:f>
              <c:numCache>
                <c:formatCode>General</c:formatCode>
                <c:ptCount val="5"/>
                <c:pt idx="0">
                  <c:v>2.7048999999999999</c:v>
                </c:pt>
                <c:pt idx="1">
                  <c:v>4.2977999999999996</c:v>
                </c:pt>
                <c:pt idx="2">
                  <c:v>7.2762000000000002</c:v>
                </c:pt>
                <c:pt idx="3">
                  <c:v>13.204499999999999</c:v>
                </c:pt>
                <c:pt idx="4">
                  <c:v>22.215699999999998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DE-4BFC-8045-F0656363B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43439"/>
        <c:axId val="728125231"/>
      </c:lineChart>
      <c:catAx>
        <c:axId val="9550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25231"/>
        <c:crosses val="autoZero"/>
        <c:auto val="1"/>
        <c:lblAlgn val="ctr"/>
        <c:lblOffset val="100"/>
        <c:noMultiLvlLbl val="0"/>
      </c:catAx>
      <c:valAx>
        <c:axId val="72812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Table!$G$452:$G$456</c:f>
              <c:numCache>
                <c:formatCode>General</c:formatCode>
                <c:ptCount val="5"/>
                <c:pt idx="0">
                  <c:v>0.99</c:v>
                </c:pt>
                <c:pt idx="1">
                  <c:v>2.4590000000000001</c:v>
                </c:pt>
                <c:pt idx="2">
                  <c:v>5.87</c:v>
                </c:pt>
                <c:pt idx="3">
                  <c:v>14.255000000000001</c:v>
                </c:pt>
                <c:pt idx="4">
                  <c:v>36.665999999999997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2-4144-9F86-70F61C52A565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Table!$G$457:$G$461</c:f>
              <c:numCache>
                <c:formatCode>General</c:formatCode>
                <c:ptCount val="5"/>
                <c:pt idx="0">
                  <c:v>0.89</c:v>
                </c:pt>
                <c:pt idx="1">
                  <c:v>2.0590000000000002</c:v>
                </c:pt>
                <c:pt idx="2">
                  <c:v>5.9180000000000001</c:v>
                </c:pt>
                <c:pt idx="3">
                  <c:v>13.417999999999999</c:v>
                </c:pt>
                <c:pt idx="4">
                  <c:v>30.832999999999998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2-4144-9F86-70F61C52A565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Table!$G$462:$G$466</c:f>
              <c:numCache>
                <c:formatCode>General</c:formatCode>
                <c:ptCount val="5"/>
                <c:pt idx="0">
                  <c:v>0.70599999999999996</c:v>
                </c:pt>
                <c:pt idx="1">
                  <c:v>1.764</c:v>
                </c:pt>
                <c:pt idx="2">
                  <c:v>4.7270000000000003</c:v>
                </c:pt>
                <c:pt idx="3">
                  <c:v>11.112</c:v>
                </c:pt>
                <c:pt idx="4">
                  <c:v>27.875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42-4144-9F86-70F61C52A565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Table!$G$467:$G$471</c:f>
              <c:numCache>
                <c:formatCode>General</c:formatCode>
                <c:ptCount val="5"/>
                <c:pt idx="0">
                  <c:v>0.44700000000000001</c:v>
                </c:pt>
                <c:pt idx="1">
                  <c:v>1.4339999999999999</c:v>
                </c:pt>
                <c:pt idx="2">
                  <c:v>3.766</c:v>
                </c:pt>
                <c:pt idx="3">
                  <c:v>9.4559999999999995</c:v>
                </c:pt>
                <c:pt idx="4">
                  <c:v>23.728000000000002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42-4144-9F86-70F61C52A565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Table!$E$462:$E$466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Table!$G$472:$G$476</c:f>
              <c:numCache>
                <c:formatCode>General</c:formatCode>
                <c:ptCount val="5"/>
                <c:pt idx="0">
                  <c:v>0.128</c:v>
                </c:pt>
                <c:pt idx="1">
                  <c:v>0.99399999999999999</c:v>
                </c:pt>
                <c:pt idx="2">
                  <c:v>2.79</c:v>
                </c:pt>
                <c:pt idx="3">
                  <c:v>8.2650000000000006</c:v>
                </c:pt>
                <c:pt idx="4">
                  <c:v>17.727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42-4144-9F86-70F61C52A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62159"/>
        <c:axId val="1214046543"/>
      </c:lineChart>
      <c:catAx>
        <c:axId val="95506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46543"/>
        <c:crosses val="autoZero"/>
        <c:auto val="1"/>
        <c:lblAlgn val="ctr"/>
        <c:lblOffset val="100"/>
        <c:noMultiLvlLbl val="0"/>
      </c:catAx>
      <c:valAx>
        <c:axId val="12140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6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Table!$E$467:$E$471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Table!$H$452:$H$456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59.231999999999999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6-42D6-8D7B-13B2AEA00737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Table!$E$467:$E$471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Table!$H$457:$H$461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52.725999999999999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6-42D6-8D7B-13B2AEA00737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Table!$E$467:$E$471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Table!$H$462:$H$466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40.093000000000004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6-42D6-8D7B-13B2AEA00737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Table!$E$467:$E$471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Table!$H$467:$H$471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28.434999999999999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F6-42D6-8D7B-13B2AEA00737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Table!$E$467:$E$471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Table!$H$472:$H$476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18.338000000000001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F6-42D6-8D7B-13B2AEA00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58319"/>
        <c:axId val="1214025215"/>
      </c:lineChart>
      <c:catAx>
        <c:axId val="9550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25215"/>
        <c:crosses val="autoZero"/>
        <c:auto val="1"/>
        <c:lblAlgn val="ctr"/>
        <c:lblOffset val="100"/>
        <c:noMultiLvlLbl val="0"/>
      </c:catAx>
      <c:valAx>
        <c:axId val="12140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5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Table!$E$487:$E$491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Table!$F$477:$F$481</c:f>
              <c:numCache>
                <c:formatCode>General</c:formatCode>
                <c:ptCount val="5"/>
                <c:pt idx="0">
                  <c:v>4.9500999999999999</c:v>
                </c:pt>
                <c:pt idx="1">
                  <c:v>8.1231000000000009</c:v>
                </c:pt>
                <c:pt idx="2">
                  <c:v>12.5715</c:v>
                </c:pt>
                <c:pt idx="3">
                  <c:v>20.097899999999999</c:v>
                </c:pt>
                <c:pt idx="4">
                  <c:v>35.019199999999998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2-4A67-822C-54FA6B12C7E3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Table!$E$487:$E$491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Table!$F$482:$F$486</c:f>
              <c:numCache>
                <c:formatCode>General</c:formatCode>
                <c:ptCount val="5"/>
                <c:pt idx="0">
                  <c:v>4.4866000000000001</c:v>
                </c:pt>
                <c:pt idx="1">
                  <c:v>7.2384000000000004</c:v>
                </c:pt>
                <c:pt idx="2">
                  <c:v>11.823</c:v>
                </c:pt>
                <c:pt idx="3">
                  <c:v>18.775600000000001</c:v>
                </c:pt>
                <c:pt idx="4">
                  <c:v>32.539400000000001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2-4A67-822C-54FA6B12C7E3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Table!$E$487:$E$491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Table!$F$487:$F$491</c:f>
              <c:numCache>
                <c:formatCode>General</c:formatCode>
                <c:ptCount val="5"/>
                <c:pt idx="0">
                  <c:v>3.9209000000000001</c:v>
                </c:pt>
                <c:pt idx="1">
                  <c:v>6.2760999999999996</c:v>
                </c:pt>
                <c:pt idx="2">
                  <c:v>10.644299999999999</c:v>
                </c:pt>
                <c:pt idx="3">
                  <c:v>16.566500000000001</c:v>
                </c:pt>
                <c:pt idx="4">
                  <c:v>27.759399999999999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2-4A67-822C-54FA6B12C7E3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Table!$E$487:$E$491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Table!$F$492:$F$496</c:f>
              <c:numCache>
                <c:formatCode>General</c:formatCode>
                <c:ptCount val="5"/>
                <c:pt idx="0">
                  <c:v>3.3201000000000001</c:v>
                </c:pt>
                <c:pt idx="1">
                  <c:v>5.2793999999999999</c:v>
                </c:pt>
                <c:pt idx="2">
                  <c:v>9.0048999999999992</c:v>
                </c:pt>
                <c:pt idx="3">
                  <c:v>14.3682</c:v>
                </c:pt>
                <c:pt idx="4">
                  <c:v>23.2804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42-4A67-822C-54FA6B12C7E3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Table!$E$487:$E$491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Table!$F$497:$F$501</c:f>
              <c:numCache>
                <c:formatCode>General</c:formatCode>
                <c:ptCount val="5"/>
                <c:pt idx="0">
                  <c:v>2.7012999999999998</c:v>
                </c:pt>
                <c:pt idx="1">
                  <c:v>4.3093000000000004</c:v>
                </c:pt>
                <c:pt idx="2">
                  <c:v>7.2687999999999997</c:v>
                </c:pt>
                <c:pt idx="3">
                  <c:v>12.3329</c:v>
                </c:pt>
                <c:pt idx="4">
                  <c:v>19.468299999999999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42-4A67-822C-54FA6B12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671295"/>
        <c:axId val="1214056959"/>
      </c:lineChart>
      <c:catAx>
        <c:axId val="95367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56959"/>
        <c:crosses val="autoZero"/>
        <c:auto val="1"/>
        <c:lblAlgn val="ctr"/>
        <c:lblOffset val="100"/>
        <c:noMultiLvlLbl val="0"/>
      </c:catAx>
      <c:valAx>
        <c:axId val="12140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7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Table!$E$492:$E$496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Table!$G$477:$G$481</c:f>
              <c:numCache>
                <c:formatCode>General</c:formatCode>
                <c:ptCount val="5"/>
                <c:pt idx="0">
                  <c:v>1.0102</c:v>
                </c:pt>
                <c:pt idx="1">
                  <c:v>2.4750000000000001</c:v>
                </c:pt>
                <c:pt idx="2">
                  <c:v>5.8609999999999998</c:v>
                </c:pt>
                <c:pt idx="3">
                  <c:v>12.513</c:v>
                </c:pt>
                <c:pt idx="4">
                  <c:v>30.687999999999999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A-41A2-900A-DE6FC065C5D6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Table!$E$492:$E$496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Table!$G$482:$G$486</c:f>
              <c:numCache>
                <c:formatCode>General</c:formatCode>
                <c:ptCount val="5"/>
                <c:pt idx="0">
                  <c:v>0.88200000000000001</c:v>
                </c:pt>
                <c:pt idx="1">
                  <c:v>2.15</c:v>
                </c:pt>
                <c:pt idx="2">
                  <c:v>5.2359999999999998</c:v>
                </c:pt>
                <c:pt idx="3">
                  <c:v>11.907</c:v>
                </c:pt>
                <c:pt idx="4">
                  <c:v>28.454000000000001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A-41A2-900A-DE6FC065C5D6}"/>
            </c:ext>
          </c:extLst>
        </c:ser>
        <c:ser>
          <c:idx val="2"/>
          <c:order val="2"/>
          <c:tx>
            <c:v>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Table!$E$492:$E$496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Table!$G$487:$G$491</c:f>
              <c:numCache>
                <c:formatCode>General</c:formatCode>
                <c:ptCount val="5"/>
                <c:pt idx="0">
                  <c:v>0.82399999999999995</c:v>
                </c:pt>
                <c:pt idx="1">
                  <c:v>1.9039999999999999</c:v>
                </c:pt>
                <c:pt idx="2">
                  <c:v>4.7930000000000001</c:v>
                </c:pt>
                <c:pt idx="3">
                  <c:v>10.118</c:v>
                </c:pt>
                <c:pt idx="4">
                  <c:v>23.821999999999999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A-41A2-900A-DE6FC065C5D6}"/>
            </c:ext>
          </c:extLst>
        </c:ser>
        <c:ser>
          <c:idx val="3"/>
          <c:order val="3"/>
          <c:tx>
            <c:v>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Table!$E$492:$E$496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Table!$G$492:$G$496</c:f>
              <c:numCache>
                <c:formatCode>General</c:formatCode>
                <c:ptCount val="5"/>
                <c:pt idx="0">
                  <c:v>0.47199999999999998</c:v>
                </c:pt>
                <c:pt idx="1">
                  <c:v>1.387</c:v>
                </c:pt>
                <c:pt idx="2">
                  <c:v>3.5569999999999999</c:v>
                </c:pt>
                <c:pt idx="3">
                  <c:v>9.1210000000000004</c:v>
                </c:pt>
                <c:pt idx="4">
                  <c:v>20.297999999999998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FA-41A2-900A-DE6FC065C5D6}"/>
            </c:ext>
          </c:extLst>
        </c:ser>
        <c:ser>
          <c:idx val="4"/>
          <c:order val="4"/>
          <c:tx>
            <c:v>20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Table!$E$492:$E$496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cat>
          <c:val>
            <c:numRef>
              <c:f>Table!$G$497:$G$501</c:f>
              <c:numCache>
                <c:formatCode>General</c:formatCode>
                <c:ptCount val="5"/>
                <c:pt idx="0">
                  <c:v>0.16</c:v>
                </c:pt>
                <c:pt idx="1">
                  <c:v>0.78900000000000003</c:v>
                </c:pt>
                <c:pt idx="2">
                  <c:v>2.948</c:v>
                </c:pt>
                <c:pt idx="3">
                  <c:v>7.6230000000000002</c:v>
                </c:pt>
                <c:pt idx="4">
                  <c:v>16.279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FA-41A2-900A-DE6FC065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51119"/>
        <c:axId val="950397151"/>
      </c:lineChart>
      <c:catAx>
        <c:axId val="95505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97151"/>
        <c:crosses val="autoZero"/>
        <c:auto val="1"/>
        <c:lblAlgn val="ctr"/>
        <c:lblOffset val="100"/>
        <c:noMultiLvlLbl val="0"/>
      </c:catAx>
      <c:valAx>
        <c:axId val="9503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5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037199"/>
        <c:axId val="1145896975"/>
      </c:lineChart>
      <c:catAx>
        <c:axId val="95503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96975"/>
        <c:crosses val="autoZero"/>
        <c:auto val="1"/>
        <c:lblAlgn val="ctr"/>
        <c:lblOffset val="100"/>
        <c:noMultiLvlLbl val="0"/>
      </c:catAx>
      <c:valAx>
        <c:axId val="11458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3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</xdr:row>
      <xdr:rowOff>0</xdr:rowOff>
    </xdr:from>
    <xdr:to>
      <xdr:col>16</xdr:col>
      <xdr:colOff>533400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0E4E7-5E70-71C5-B913-A11C496D9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220980</xdr:colOff>
      <xdr:row>15</xdr:row>
      <xdr:rowOff>175260</xdr:rowOff>
    </xdr:from>
    <xdr:to>
      <xdr:col>16</xdr:col>
      <xdr:colOff>525780</xdr:colOff>
      <xdr:row>30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9458F-9484-37ED-2514-FAA35D1D4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220980</xdr:colOff>
      <xdr:row>31</xdr:row>
      <xdr:rowOff>7620</xdr:rowOff>
    </xdr:from>
    <xdr:to>
      <xdr:col>16</xdr:col>
      <xdr:colOff>525780</xdr:colOff>
      <xdr:row>46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7BB9F2-9FA2-706B-0600-EC04A0AAD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213360</xdr:colOff>
      <xdr:row>46</xdr:row>
      <xdr:rowOff>60960</xdr:rowOff>
    </xdr:from>
    <xdr:to>
      <xdr:col>16</xdr:col>
      <xdr:colOff>518160</xdr:colOff>
      <xdr:row>61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14F5E8-241D-2E13-A2E6-0443FD04A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236220</xdr:colOff>
      <xdr:row>61</xdr:row>
      <xdr:rowOff>144780</xdr:rowOff>
    </xdr:from>
    <xdr:to>
      <xdr:col>16</xdr:col>
      <xdr:colOff>541020</xdr:colOff>
      <xdr:row>76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6C020E-AD38-65F5-0EB1-9E329882E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601980</xdr:colOff>
      <xdr:row>1</xdr:row>
      <xdr:rowOff>0</xdr:rowOff>
    </xdr:from>
    <xdr:to>
      <xdr:col>24</xdr:col>
      <xdr:colOff>297180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4541E2-3286-D5A1-2E7E-EC9421E7D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601980</xdr:colOff>
      <xdr:row>16</xdr:row>
      <xdr:rowOff>38100</xdr:rowOff>
    </xdr:from>
    <xdr:to>
      <xdr:col>24</xdr:col>
      <xdr:colOff>297180</xdr:colOff>
      <xdr:row>31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4CF7FA-5E34-EDFD-C36D-D9AE0E5D7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8467</xdr:colOff>
      <xdr:row>31</xdr:row>
      <xdr:rowOff>55033</xdr:rowOff>
    </xdr:from>
    <xdr:to>
      <xdr:col>24</xdr:col>
      <xdr:colOff>313267</xdr:colOff>
      <xdr:row>46</xdr:row>
      <xdr:rowOff>4233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634D96-F567-12C9-90E9-06909D11F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8467</xdr:colOff>
      <xdr:row>46</xdr:row>
      <xdr:rowOff>80432</xdr:rowOff>
    </xdr:from>
    <xdr:to>
      <xdr:col>24</xdr:col>
      <xdr:colOff>313267</xdr:colOff>
      <xdr:row>61</xdr:row>
      <xdr:rowOff>29632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A0BC42-3526-F6A7-0DFB-F2D4B5EB9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16934</xdr:colOff>
      <xdr:row>61</xdr:row>
      <xdr:rowOff>131234</xdr:rowOff>
    </xdr:from>
    <xdr:to>
      <xdr:col>24</xdr:col>
      <xdr:colOff>321734</xdr:colOff>
      <xdr:row>76</xdr:row>
      <xdr:rowOff>80434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D80363-33DC-A9D1-4DEC-3DD6C7798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457200</xdr:colOff>
      <xdr:row>1</xdr:row>
      <xdr:rowOff>38099</xdr:rowOff>
    </xdr:from>
    <xdr:to>
      <xdr:col>32</xdr:col>
      <xdr:colOff>152400</xdr:colOff>
      <xdr:row>15</xdr:row>
      <xdr:rowOff>173566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6A2C81-1E20-9BAD-379E-A758A0D2C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567266</xdr:colOff>
      <xdr:row>16</xdr:row>
      <xdr:rowOff>114299</xdr:rowOff>
    </xdr:from>
    <xdr:to>
      <xdr:col>32</xdr:col>
      <xdr:colOff>262466</xdr:colOff>
      <xdr:row>31</xdr:row>
      <xdr:rowOff>63499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919BC4F-F4A3-D46F-76DC-1ECCF1BA3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550334</xdr:colOff>
      <xdr:row>31</xdr:row>
      <xdr:rowOff>131233</xdr:rowOff>
    </xdr:from>
    <xdr:to>
      <xdr:col>32</xdr:col>
      <xdr:colOff>245534</xdr:colOff>
      <xdr:row>46</xdr:row>
      <xdr:rowOff>80433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C4767D-C370-98ED-353E-BF94A3B17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524933</xdr:colOff>
      <xdr:row>46</xdr:row>
      <xdr:rowOff>173566</xdr:rowOff>
    </xdr:from>
    <xdr:to>
      <xdr:col>32</xdr:col>
      <xdr:colOff>220133</xdr:colOff>
      <xdr:row>61</xdr:row>
      <xdr:rowOff>122766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5481A8-EF79-C348-C45F-A089E5904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62</xdr:row>
      <xdr:rowOff>4233</xdr:rowOff>
    </xdr:from>
    <xdr:to>
      <xdr:col>32</xdr:col>
      <xdr:colOff>203200</xdr:colOff>
      <xdr:row>76</xdr:row>
      <xdr:rowOff>139699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92E5281-B6D8-E228-0CC4-DFC8A7F60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304801</xdr:colOff>
      <xdr:row>77</xdr:row>
      <xdr:rowOff>165100</xdr:rowOff>
    </xdr:from>
    <xdr:to>
      <xdr:col>17</xdr:col>
      <xdr:colOff>1</xdr:colOff>
      <xdr:row>92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7DCF2F1-F9EF-CABA-0FB0-FF9CFABB6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287868</xdr:colOff>
      <xdr:row>93</xdr:row>
      <xdr:rowOff>139700</xdr:rowOff>
    </xdr:from>
    <xdr:to>
      <xdr:col>16</xdr:col>
      <xdr:colOff>592668</xdr:colOff>
      <xdr:row>108</xdr:row>
      <xdr:rowOff>88900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B8556C1-19BC-62C3-6B86-DC503232F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135468</xdr:colOff>
      <xdr:row>77</xdr:row>
      <xdr:rowOff>182034</xdr:rowOff>
    </xdr:from>
    <xdr:to>
      <xdr:col>24</xdr:col>
      <xdr:colOff>440268</xdr:colOff>
      <xdr:row>92</xdr:row>
      <xdr:rowOff>131234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61A740C-CDEB-3FC6-846D-11C2B829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42333</xdr:colOff>
      <xdr:row>77</xdr:row>
      <xdr:rowOff>148167</xdr:rowOff>
    </xdr:from>
    <xdr:to>
      <xdr:col>32</xdr:col>
      <xdr:colOff>347133</xdr:colOff>
      <xdr:row>92</xdr:row>
      <xdr:rowOff>97367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F0AF088-94B5-5302-6D3F-71428D0E3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101600</xdr:colOff>
      <xdr:row>93</xdr:row>
      <xdr:rowOff>122767</xdr:rowOff>
    </xdr:from>
    <xdr:to>
      <xdr:col>24</xdr:col>
      <xdr:colOff>406400</xdr:colOff>
      <xdr:row>108</xdr:row>
      <xdr:rowOff>71967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36CA98F-D969-D140-D1E4-02A7D9EB8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567267</xdr:colOff>
      <xdr:row>93</xdr:row>
      <xdr:rowOff>97367</xdr:rowOff>
    </xdr:from>
    <xdr:to>
      <xdr:col>32</xdr:col>
      <xdr:colOff>262467</xdr:colOff>
      <xdr:row>108</xdr:row>
      <xdr:rowOff>46567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43048B8-4E33-8256-90E5-C67A61B00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296334</xdr:colOff>
      <xdr:row>109</xdr:row>
      <xdr:rowOff>21166</xdr:rowOff>
    </xdr:from>
    <xdr:to>
      <xdr:col>16</xdr:col>
      <xdr:colOff>601134</xdr:colOff>
      <xdr:row>123</xdr:row>
      <xdr:rowOff>156633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284E1AF-D00E-CE96-E1B3-7F25124FB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584200</xdr:colOff>
      <xdr:row>109</xdr:row>
      <xdr:rowOff>88900</xdr:rowOff>
    </xdr:from>
    <xdr:to>
      <xdr:col>32</xdr:col>
      <xdr:colOff>279400</xdr:colOff>
      <xdr:row>124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D90BF10-D6ED-9445-DDDC-61198BF0A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76200</xdr:colOff>
      <xdr:row>109</xdr:row>
      <xdr:rowOff>88900</xdr:rowOff>
    </xdr:from>
    <xdr:to>
      <xdr:col>24</xdr:col>
      <xdr:colOff>381000</xdr:colOff>
      <xdr:row>124</xdr:row>
      <xdr:rowOff>38100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8EA8355-123B-C58B-0E2A-8C9339198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321734</xdr:colOff>
      <xdr:row>124</xdr:row>
      <xdr:rowOff>148166</xdr:rowOff>
    </xdr:from>
    <xdr:to>
      <xdr:col>17</xdr:col>
      <xdr:colOff>16934</xdr:colOff>
      <xdr:row>139</xdr:row>
      <xdr:rowOff>97366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D1BF440-35B1-883B-8CE4-C24AB055E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228600</xdr:colOff>
      <xdr:row>125</xdr:row>
      <xdr:rowOff>29633</xdr:rowOff>
    </xdr:from>
    <xdr:to>
      <xdr:col>24</xdr:col>
      <xdr:colOff>533400</xdr:colOff>
      <xdr:row>139</xdr:row>
      <xdr:rowOff>165099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199B131-BF0A-2E43-CB2A-66C8B13CF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25</xdr:col>
      <xdr:colOff>127000</xdr:colOff>
      <xdr:row>125</xdr:row>
      <xdr:rowOff>21167</xdr:rowOff>
    </xdr:from>
    <xdr:to>
      <xdr:col>32</xdr:col>
      <xdr:colOff>431800</xdr:colOff>
      <xdr:row>139</xdr:row>
      <xdr:rowOff>156633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BA1F508-DEC0-E17A-7DEC-51B534CBC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313268</xdr:colOff>
      <xdr:row>141</xdr:row>
      <xdr:rowOff>21166</xdr:rowOff>
    </xdr:from>
    <xdr:to>
      <xdr:col>17</xdr:col>
      <xdr:colOff>8468</xdr:colOff>
      <xdr:row>155</xdr:row>
      <xdr:rowOff>156633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F7CB5A4-0CDD-0F2F-063A-030231E92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17</xdr:col>
      <xdr:colOff>262467</xdr:colOff>
      <xdr:row>141</xdr:row>
      <xdr:rowOff>29634</xdr:rowOff>
    </xdr:from>
    <xdr:to>
      <xdr:col>24</xdr:col>
      <xdr:colOff>567267</xdr:colOff>
      <xdr:row>155</xdr:row>
      <xdr:rowOff>165101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40AA084-49BA-64F8-976A-1790E7481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270934</xdr:colOff>
      <xdr:row>140</xdr:row>
      <xdr:rowOff>139700</xdr:rowOff>
    </xdr:from>
    <xdr:to>
      <xdr:col>32</xdr:col>
      <xdr:colOff>575734</xdr:colOff>
      <xdr:row>155</xdr:row>
      <xdr:rowOff>88900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B5C5B49-DFF2-9B17-1D57-C6C0C512F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10</xdr:col>
      <xdr:colOff>0</xdr:colOff>
      <xdr:row>251</xdr:row>
      <xdr:rowOff>4234</xdr:rowOff>
    </xdr:from>
    <xdr:to>
      <xdr:col>17</xdr:col>
      <xdr:colOff>304800</xdr:colOff>
      <xdr:row>265</xdr:row>
      <xdr:rowOff>139700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1BC59A3-E7B1-13A4-873E-19B84C9D6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18</xdr:col>
      <xdr:colOff>33867</xdr:colOff>
      <xdr:row>251</xdr:row>
      <xdr:rowOff>46566</xdr:rowOff>
    </xdr:from>
    <xdr:to>
      <xdr:col>25</xdr:col>
      <xdr:colOff>338667</xdr:colOff>
      <xdr:row>265</xdr:row>
      <xdr:rowOff>182032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8C41A1D-E69E-ABBC-EF24-7C8287504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567266</xdr:colOff>
      <xdr:row>251</xdr:row>
      <xdr:rowOff>46568</xdr:rowOff>
    </xdr:from>
    <xdr:to>
      <xdr:col>33</xdr:col>
      <xdr:colOff>262466</xdr:colOff>
      <xdr:row>265</xdr:row>
      <xdr:rowOff>182034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0F4802B-45AB-A1C9-DBBE-11253E799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592667</xdr:colOff>
      <xdr:row>276</xdr:row>
      <xdr:rowOff>173567</xdr:rowOff>
    </xdr:from>
    <xdr:to>
      <xdr:col>17</xdr:col>
      <xdr:colOff>287867</xdr:colOff>
      <xdr:row>291</xdr:row>
      <xdr:rowOff>122767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BEC04BA-BD16-1873-A41E-9DE409052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567267</xdr:colOff>
      <xdr:row>277</xdr:row>
      <xdr:rowOff>4233</xdr:rowOff>
    </xdr:from>
    <xdr:to>
      <xdr:col>25</xdr:col>
      <xdr:colOff>262467</xdr:colOff>
      <xdr:row>291</xdr:row>
      <xdr:rowOff>139700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15A492A5-3D3F-EE7A-E979-272560B56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25</xdr:col>
      <xdr:colOff>601133</xdr:colOff>
      <xdr:row>276</xdr:row>
      <xdr:rowOff>131234</xdr:rowOff>
    </xdr:from>
    <xdr:to>
      <xdr:col>33</xdr:col>
      <xdr:colOff>296333</xdr:colOff>
      <xdr:row>291</xdr:row>
      <xdr:rowOff>80434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D876498-913C-DEC6-E504-775CDC7EB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10</xdr:col>
      <xdr:colOff>1</xdr:colOff>
      <xdr:row>301</xdr:row>
      <xdr:rowOff>38100</xdr:rowOff>
    </xdr:from>
    <xdr:to>
      <xdr:col>17</xdr:col>
      <xdr:colOff>304801</xdr:colOff>
      <xdr:row>315</xdr:row>
      <xdr:rowOff>173567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BC99958-D932-860E-4A3E-9408335C0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17</xdr:col>
      <xdr:colOff>601134</xdr:colOff>
      <xdr:row>301</xdr:row>
      <xdr:rowOff>46566</xdr:rowOff>
    </xdr:from>
    <xdr:to>
      <xdr:col>25</xdr:col>
      <xdr:colOff>296334</xdr:colOff>
      <xdr:row>315</xdr:row>
      <xdr:rowOff>182033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AF1D353-450D-EF3F-9C4B-49BCEC5C7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26</xdr:col>
      <xdr:colOff>8467</xdr:colOff>
      <xdr:row>301</xdr:row>
      <xdr:rowOff>21167</xdr:rowOff>
    </xdr:from>
    <xdr:to>
      <xdr:col>33</xdr:col>
      <xdr:colOff>313267</xdr:colOff>
      <xdr:row>315</xdr:row>
      <xdr:rowOff>156634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229FDAF-D042-2C1F-6767-1263DEED0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601134</xdr:colOff>
      <xdr:row>326</xdr:row>
      <xdr:rowOff>173567</xdr:rowOff>
    </xdr:from>
    <xdr:to>
      <xdr:col>17</xdr:col>
      <xdr:colOff>296334</xdr:colOff>
      <xdr:row>341</xdr:row>
      <xdr:rowOff>122767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9EE1869-F0B3-99DF-155D-C757A3B53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18</xdr:col>
      <xdr:colOff>0</xdr:colOff>
      <xdr:row>326</xdr:row>
      <xdr:rowOff>156634</xdr:rowOff>
    </xdr:from>
    <xdr:to>
      <xdr:col>25</xdr:col>
      <xdr:colOff>304800</xdr:colOff>
      <xdr:row>341</xdr:row>
      <xdr:rowOff>105834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E58A3C0-F6CB-8AB5-AA84-D63E52800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26</xdr:col>
      <xdr:colOff>8466</xdr:colOff>
      <xdr:row>327</xdr:row>
      <xdr:rowOff>21167</xdr:rowOff>
    </xdr:from>
    <xdr:to>
      <xdr:col>33</xdr:col>
      <xdr:colOff>313266</xdr:colOff>
      <xdr:row>341</xdr:row>
      <xdr:rowOff>156634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4A41C0F-4875-3DF8-C694-5F100D06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9</xdr:col>
      <xdr:colOff>592667</xdr:colOff>
      <xdr:row>351</xdr:row>
      <xdr:rowOff>29633</xdr:rowOff>
    </xdr:from>
    <xdr:to>
      <xdr:col>17</xdr:col>
      <xdr:colOff>287867</xdr:colOff>
      <xdr:row>365</xdr:row>
      <xdr:rowOff>165100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113AF42-5097-ECB4-9152-36131AE34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351</xdr:row>
      <xdr:rowOff>4234</xdr:rowOff>
    </xdr:from>
    <xdr:to>
      <xdr:col>25</xdr:col>
      <xdr:colOff>304800</xdr:colOff>
      <xdr:row>365</xdr:row>
      <xdr:rowOff>139701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BA74D31F-FE42-CFE7-46BB-257101CB1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26</xdr:col>
      <xdr:colOff>0</xdr:colOff>
      <xdr:row>351</xdr:row>
      <xdr:rowOff>21167</xdr:rowOff>
    </xdr:from>
    <xdr:to>
      <xdr:col>33</xdr:col>
      <xdr:colOff>304800</xdr:colOff>
      <xdr:row>365</xdr:row>
      <xdr:rowOff>156634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C112CF60-EBCF-ED71-C2D7-F679CB121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10</xdr:col>
      <xdr:colOff>25400</xdr:colOff>
      <xdr:row>376</xdr:row>
      <xdr:rowOff>4233</xdr:rowOff>
    </xdr:from>
    <xdr:to>
      <xdr:col>17</xdr:col>
      <xdr:colOff>330200</xdr:colOff>
      <xdr:row>390</xdr:row>
      <xdr:rowOff>139700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984CB79-14CA-D373-81C7-414222A2F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17</xdr:col>
      <xdr:colOff>558800</xdr:colOff>
      <xdr:row>376</xdr:row>
      <xdr:rowOff>4233</xdr:rowOff>
    </xdr:from>
    <xdr:to>
      <xdr:col>25</xdr:col>
      <xdr:colOff>254000</xdr:colOff>
      <xdr:row>390</xdr:row>
      <xdr:rowOff>139700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4876B26C-3F16-EAC3-BCBC-A7B65CC8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26</xdr:col>
      <xdr:colOff>8467</xdr:colOff>
      <xdr:row>376</xdr:row>
      <xdr:rowOff>29632</xdr:rowOff>
    </xdr:from>
    <xdr:to>
      <xdr:col>33</xdr:col>
      <xdr:colOff>313267</xdr:colOff>
      <xdr:row>390</xdr:row>
      <xdr:rowOff>165099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73788F69-0515-44F8-944B-CEB41ED3A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9</xdr:col>
      <xdr:colOff>524934</xdr:colOff>
      <xdr:row>401</xdr:row>
      <xdr:rowOff>29634</xdr:rowOff>
    </xdr:from>
    <xdr:to>
      <xdr:col>17</xdr:col>
      <xdr:colOff>220134</xdr:colOff>
      <xdr:row>415</xdr:row>
      <xdr:rowOff>165100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B07A6ECA-3182-ADE9-94F2-D08736AF4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18</xdr:col>
      <xdr:colOff>0</xdr:colOff>
      <xdr:row>401</xdr:row>
      <xdr:rowOff>80434</xdr:rowOff>
    </xdr:from>
    <xdr:to>
      <xdr:col>25</xdr:col>
      <xdr:colOff>304800</xdr:colOff>
      <xdr:row>416</xdr:row>
      <xdr:rowOff>29634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89F2CD9F-E5FF-5AAD-F5E4-064F5B875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25</xdr:col>
      <xdr:colOff>601133</xdr:colOff>
      <xdr:row>401</xdr:row>
      <xdr:rowOff>63501</xdr:rowOff>
    </xdr:from>
    <xdr:to>
      <xdr:col>33</xdr:col>
      <xdr:colOff>296333</xdr:colOff>
      <xdr:row>416</xdr:row>
      <xdr:rowOff>12701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F132E6D-B884-90AC-8A26-D9B9999DC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10</xdr:col>
      <xdr:colOff>33867</xdr:colOff>
      <xdr:row>425</xdr:row>
      <xdr:rowOff>182033</xdr:rowOff>
    </xdr:from>
    <xdr:to>
      <xdr:col>17</xdr:col>
      <xdr:colOff>338667</xdr:colOff>
      <xdr:row>440</xdr:row>
      <xdr:rowOff>131233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2221CC8F-1BD9-2F33-A0EF-7F0849DA9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18</xdr:col>
      <xdr:colOff>228601</xdr:colOff>
      <xdr:row>425</xdr:row>
      <xdr:rowOff>165100</xdr:rowOff>
    </xdr:from>
    <xdr:to>
      <xdr:col>25</xdr:col>
      <xdr:colOff>533401</xdr:colOff>
      <xdr:row>440</xdr:row>
      <xdr:rowOff>114300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2279D78B-5B9F-FFBE-A7D8-1B0518FDD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26</xdr:col>
      <xdr:colOff>355600</xdr:colOff>
      <xdr:row>425</xdr:row>
      <xdr:rowOff>182034</xdr:rowOff>
    </xdr:from>
    <xdr:to>
      <xdr:col>34</xdr:col>
      <xdr:colOff>50800</xdr:colOff>
      <xdr:row>440</xdr:row>
      <xdr:rowOff>131234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62B531D-8BC7-8D01-B48F-C4371C6F1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10</xdr:col>
      <xdr:colOff>16934</xdr:colOff>
      <xdr:row>450</xdr:row>
      <xdr:rowOff>182033</xdr:rowOff>
    </xdr:from>
    <xdr:to>
      <xdr:col>17</xdr:col>
      <xdr:colOff>321734</xdr:colOff>
      <xdr:row>465</xdr:row>
      <xdr:rowOff>131233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9C832707-3EAF-DBC6-1D45-1D3FA4E4F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17</xdr:col>
      <xdr:colOff>592667</xdr:colOff>
      <xdr:row>451</xdr:row>
      <xdr:rowOff>4233</xdr:rowOff>
    </xdr:from>
    <xdr:to>
      <xdr:col>25</xdr:col>
      <xdr:colOff>287867</xdr:colOff>
      <xdr:row>465</xdr:row>
      <xdr:rowOff>139700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273B8A0A-89F2-7841-A7DE-FE2F7FA23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26</xdr:col>
      <xdr:colOff>16933</xdr:colOff>
      <xdr:row>450</xdr:row>
      <xdr:rowOff>182033</xdr:rowOff>
    </xdr:from>
    <xdr:to>
      <xdr:col>33</xdr:col>
      <xdr:colOff>321733</xdr:colOff>
      <xdr:row>465</xdr:row>
      <xdr:rowOff>131233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F38C3E63-1922-0E40-25D9-B5FB27481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9</xdr:col>
      <xdr:colOff>558801</xdr:colOff>
      <xdr:row>476</xdr:row>
      <xdr:rowOff>97367</xdr:rowOff>
    </xdr:from>
    <xdr:to>
      <xdr:col>17</xdr:col>
      <xdr:colOff>254001</xdr:colOff>
      <xdr:row>491</xdr:row>
      <xdr:rowOff>46567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F8154A23-B22F-60FE-F7F4-DCBB5C6E6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18</xdr:col>
      <xdr:colOff>25401</xdr:colOff>
      <xdr:row>476</xdr:row>
      <xdr:rowOff>139701</xdr:rowOff>
    </xdr:from>
    <xdr:to>
      <xdr:col>25</xdr:col>
      <xdr:colOff>330201</xdr:colOff>
      <xdr:row>491</xdr:row>
      <xdr:rowOff>88901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D6466229-35C3-0BBB-24E6-2DF6F954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26</xdr:col>
      <xdr:colOff>59266</xdr:colOff>
      <xdr:row>476</xdr:row>
      <xdr:rowOff>182034</xdr:rowOff>
    </xdr:from>
    <xdr:to>
      <xdr:col>33</xdr:col>
      <xdr:colOff>364066</xdr:colOff>
      <xdr:row>491</xdr:row>
      <xdr:rowOff>131234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9DB81B5B-B609-14AE-97DF-83737FE41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A12A-27AC-4E69-A2CE-7E869CB24A11}">
  <dimension ref="A1:AC40"/>
  <sheetViews>
    <sheetView topLeftCell="F1" workbookViewId="0">
      <selection activeCell="R16" sqref="R16"/>
    </sheetView>
  </sheetViews>
  <sheetFormatPr defaultRowHeight="14.4" x14ac:dyDescent="0.3"/>
  <cols>
    <col min="1" max="1" width="16.21875" customWidth="1"/>
    <col min="6" max="6" width="15.5546875" customWidth="1"/>
    <col min="9" max="9" width="11.33203125" customWidth="1"/>
    <col min="11" max="11" width="16.33203125" customWidth="1"/>
    <col min="13" max="13" width="10.109375" customWidth="1"/>
    <col min="16" max="16" width="14.109375" bestFit="1" customWidth="1"/>
    <col min="18" max="18" width="11.33203125" customWidth="1"/>
    <col min="21" max="21" width="14" customWidth="1"/>
    <col min="22" max="22" width="10.109375" customWidth="1"/>
    <col min="23" max="23" width="11.44140625" customWidth="1"/>
    <col min="24" max="24" width="9.88671875" customWidth="1"/>
    <col min="26" max="26" width="14" customWidth="1"/>
    <col min="27" max="27" width="10.109375" customWidth="1"/>
    <col min="28" max="28" width="11.44140625" customWidth="1"/>
    <col min="29" max="29" width="9.88671875" customWidth="1"/>
  </cols>
  <sheetData>
    <row r="1" spans="1:29" x14ac:dyDescent="0.3">
      <c r="A1" t="s">
        <v>10</v>
      </c>
      <c r="F1" t="s">
        <v>11</v>
      </c>
      <c r="K1" t="s">
        <v>11</v>
      </c>
      <c r="P1" t="s">
        <v>11</v>
      </c>
      <c r="U1" t="s">
        <v>11</v>
      </c>
      <c r="Z1" t="s">
        <v>11</v>
      </c>
    </row>
    <row r="2" spans="1:29" x14ac:dyDescent="0.3">
      <c r="A2" t="s">
        <v>0</v>
      </c>
      <c r="B2" t="s">
        <v>5</v>
      </c>
      <c r="F2" t="s">
        <v>0</v>
      </c>
      <c r="G2" t="s">
        <v>5</v>
      </c>
      <c r="K2" t="s">
        <v>0</v>
      </c>
      <c r="L2" t="s">
        <v>5</v>
      </c>
      <c r="M2" t="s">
        <v>13</v>
      </c>
      <c r="P2" t="s">
        <v>0</v>
      </c>
      <c r="Q2" t="s">
        <v>5</v>
      </c>
      <c r="R2" t="s">
        <v>14</v>
      </c>
      <c r="U2" t="s">
        <v>0</v>
      </c>
      <c r="V2" t="s">
        <v>5</v>
      </c>
      <c r="W2" t="s">
        <v>15</v>
      </c>
      <c r="Z2" t="s">
        <v>0</v>
      </c>
      <c r="AA2" t="s">
        <v>5</v>
      </c>
      <c r="AB2" t="s">
        <v>16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I3" t="s">
        <v>4</v>
      </c>
      <c r="K3" t="s">
        <v>1</v>
      </c>
      <c r="L3" t="s">
        <v>2</v>
      </c>
      <c r="M3" t="s">
        <v>3</v>
      </c>
      <c r="N3" t="s">
        <v>4</v>
      </c>
      <c r="P3" t="s">
        <v>1</v>
      </c>
      <c r="Q3" t="s">
        <v>2</v>
      </c>
      <c r="R3" t="s">
        <v>3</v>
      </c>
      <c r="S3" t="s">
        <v>4</v>
      </c>
      <c r="U3" t="s">
        <v>1</v>
      </c>
      <c r="V3" t="s">
        <v>2</v>
      </c>
      <c r="W3" t="s">
        <v>3</v>
      </c>
      <c r="X3" t="s">
        <v>4</v>
      </c>
      <c r="Z3" t="s">
        <v>1</v>
      </c>
      <c r="AA3" t="s">
        <v>2</v>
      </c>
      <c r="AB3" t="s">
        <v>3</v>
      </c>
      <c r="AC3" t="s">
        <v>4</v>
      </c>
    </row>
    <row r="4" spans="1:29" x14ac:dyDescent="0.3">
      <c r="A4">
        <v>0</v>
      </c>
      <c r="B4">
        <v>5.0808</v>
      </c>
      <c r="F4">
        <v>0</v>
      </c>
      <c r="G4">
        <v>4.9782999999999999</v>
      </c>
      <c r="H4">
        <v>0.98699999999999999</v>
      </c>
      <c r="I4">
        <v>0</v>
      </c>
      <c r="K4">
        <v>0</v>
      </c>
      <c r="L4">
        <v>4.4984000000000002</v>
      </c>
      <c r="M4">
        <v>0.88900000000000001</v>
      </c>
      <c r="P4">
        <v>0</v>
      </c>
      <c r="Q4">
        <v>3.9363000000000001</v>
      </c>
      <c r="R4">
        <v>0.70899999999999996</v>
      </c>
      <c r="U4">
        <v>0</v>
      </c>
      <c r="V4">
        <v>3.3281999999999998</v>
      </c>
      <c r="W4">
        <v>0.48399999999999999</v>
      </c>
      <c r="Z4">
        <v>0</v>
      </c>
      <c r="AA4">
        <v>2.7081</v>
      </c>
      <c r="AB4">
        <v>0.187</v>
      </c>
    </row>
    <row r="5" spans="1:29" x14ac:dyDescent="0.3">
      <c r="A5">
        <v>10</v>
      </c>
      <c r="B5">
        <v>8.2100000000000009</v>
      </c>
      <c r="C5">
        <v>2.4430000000000001</v>
      </c>
      <c r="D5">
        <v>1</v>
      </c>
      <c r="F5">
        <v>10</v>
      </c>
      <c r="G5">
        <v>8.14</v>
      </c>
      <c r="H5">
        <v>2.5630000000000002</v>
      </c>
      <c r="I5">
        <v>1.6020000000000001</v>
      </c>
      <c r="K5">
        <v>10</v>
      </c>
      <c r="L5">
        <v>7.2698999999999998</v>
      </c>
      <c r="M5">
        <v>2.173</v>
      </c>
      <c r="N5" t="s">
        <v>12</v>
      </c>
      <c r="P5">
        <v>10</v>
      </c>
      <c r="Q5">
        <v>6.3010999999999999</v>
      </c>
      <c r="R5">
        <v>1.8109999999999999</v>
      </c>
      <c r="U5">
        <v>10</v>
      </c>
      <c r="V5">
        <v>5.2998000000000003</v>
      </c>
      <c r="W5">
        <v>1.387</v>
      </c>
      <c r="Z5">
        <v>10</v>
      </c>
      <c r="AA5">
        <v>4.3150000000000004</v>
      </c>
      <c r="AB5">
        <v>0.96699999999999997</v>
      </c>
    </row>
    <row r="6" spans="1:29" x14ac:dyDescent="0.3">
      <c r="A6">
        <v>20</v>
      </c>
      <c r="B6">
        <v>14.45</v>
      </c>
      <c r="C6">
        <v>6.2329999999999997</v>
      </c>
      <c r="D6">
        <v>2.6646000000000001</v>
      </c>
      <c r="F6">
        <v>20</v>
      </c>
      <c r="G6">
        <v>14.552300000000001</v>
      </c>
      <c r="H6">
        <f>152-145.523</f>
        <v>6.4770000000000039</v>
      </c>
      <c r="I6">
        <v>2.9350000000000001</v>
      </c>
      <c r="K6">
        <v>20</v>
      </c>
      <c r="L6">
        <v>12.763299999999999</v>
      </c>
      <c r="M6">
        <v>5.6459999999999999</v>
      </c>
      <c r="N6">
        <v>2.113</v>
      </c>
      <c r="P6">
        <v>20</v>
      </c>
      <c r="Q6">
        <v>10.8926</v>
      </c>
      <c r="R6">
        <v>4.6130000000000004</v>
      </c>
      <c r="S6" t="s">
        <v>12</v>
      </c>
      <c r="U6">
        <v>20</v>
      </c>
      <c r="V6">
        <v>9.0496999999999996</v>
      </c>
      <c r="W6">
        <v>3.7749999999999999</v>
      </c>
      <c r="X6" t="s">
        <v>12</v>
      </c>
      <c r="Z6">
        <v>20</v>
      </c>
      <c r="AA6">
        <v>7.3061999999999996</v>
      </c>
      <c r="AB6">
        <v>2.85</v>
      </c>
    </row>
    <row r="7" spans="1:29" x14ac:dyDescent="0.3">
      <c r="A7">
        <v>30</v>
      </c>
      <c r="B7">
        <v>28.9</v>
      </c>
      <c r="C7">
        <v>17.582000000000001</v>
      </c>
      <c r="D7">
        <v>13.536</v>
      </c>
      <c r="F7">
        <v>30</v>
      </c>
      <c r="G7">
        <v>29.528400000000001</v>
      </c>
      <c r="H7">
        <f>313.498-295.284</f>
        <v>18.213999999999999</v>
      </c>
      <c r="I7">
        <v>14.13</v>
      </c>
      <c r="K7">
        <v>30</v>
      </c>
      <c r="L7">
        <v>25.369299999999999</v>
      </c>
      <c r="M7">
        <v>15.584</v>
      </c>
      <c r="N7">
        <v>11.057600000000001</v>
      </c>
      <c r="P7">
        <v>30</v>
      </c>
      <c r="Q7">
        <v>21.150099999999998</v>
      </c>
      <c r="R7">
        <v>12.76</v>
      </c>
      <c r="S7">
        <v>8.1950000000000003</v>
      </c>
      <c r="U7">
        <v>30</v>
      </c>
      <c r="V7">
        <v>17.226099999999999</v>
      </c>
      <c r="W7">
        <v>10.308999999999999</v>
      </c>
      <c r="X7">
        <v>5.6459999999999999</v>
      </c>
      <c r="Z7">
        <v>30</v>
      </c>
      <c r="AA7">
        <v>13.6746</v>
      </c>
      <c r="AB7">
        <v>8.0679999999999996</v>
      </c>
      <c r="AC7">
        <v>1.9970000000000001</v>
      </c>
    </row>
    <row r="8" spans="1:29" x14ac:dyDescent="0.3">
      <c r="A8">
        <v>40</v>
      </c>
      <c r="B8">
        <v>69.44</v>
      </c>
      <c r="C8">
        <v>58.945999999999998</v>
      </c>
      <c r="D8">
        <v>74.537999999999997</v>
      </c>
      <c r="F8">
        <v>40</v>
      </c>
      <c r="G8">
        <v>73.069100000000006</v>
      </c>
      <c r="H8">
        <f>792.423-730.691</f>
        <v>61.731999999999971</v>
      </c>
      <c r="I8">
        <v>80.325999999999993</v>
      </c>
      <c r="K8">
        <v>40</v>
      </c>
      <c r="L8">
        <v>61.029000000000003</v>
      </c>
      <c r="M8">
        <v>52.65</v>
      </c>
      <c r="N8">
        <v>61.658000000000001</v>
      </c>
      <c r="P8">
        <v>40</v>
      </c>
      <c r="Q8">
        <v>49.336599999999997</v>
      </c>
      <c r="R8">
        <v>41.927999999999997</v>
      </c>
      <c r="S8">
        <v>44.015999999999998</v>
      </c>
      <c r="U8">
        <v>40</v>
      </c>
      <c r="V8">
        <v>38.8919</v>
      </c>
      <c r="W8">
        <v>33.006</v>
      </c>
      <c r="X8">
        <v>30.029699999999998</v>
      </c>
      <c r="Z8">
        <v>40</v>
      </c>
      <c r="AA8">
        <v>30.049600000000002</v>
      </c>
      <c r="AB8">
        <v>25.094999999999999</v>
      </c>
      <c r="AC8">
        <v>19.405000000000001</v>
      </c>
    </row>
    <row r="10" spans="1:29" x14ac:dyDescent="0.3">
      <c r="A10" t="s">
        <v>7</v>
      </c>
      <c r="B10" t="s">
        <v>5</v>
      </c>
      <c r="F10" t="s">
        <v>7</v>
      </c>
      <c r="G10" t="s">
        <v>5</v>
      </c>
      <c r="K10" t="s">
        <v>7</v>
      </c>
      <c r="L10" t="s">
        <v>5</v>
      </c>
      <c r="M10" t="s">
        <v>13</v>
      </c>
      <c r="P10" t="s">
        <v>7</v>
      </c>
      <c r="Q10" t="s">
        <v>5</v>
      </c>
      <c r="R10" t="s">
        <v>14</v>
      </c>
      <c r="U10" t="s">
        <v>7</v>
      </c>
      <c r="V10" t="s">
        <v>5</v>
      </c>
      <c r="W10" t="s">
        <v>15</v>
      </c>
      <c r="Z10" t="s">
        <v>7</v>
      </c>
      <c r="AA10" t="s">
        <v>5</v>
      </c>
      <c r="AB10" t="s">
        <v>16</v>
      </c>
    </row>
    <row r="11" spans="1:29" x14ac:dyDescent="0.3">
      <c r="A11" t="s">
        <v>1</v>
      </c>
      <c r="B11" t="s">
        <v>2</v>
      </c>
      <c r="C11" t="s">
        <v>3</v>
      </c>
      <c r="D11" t="s">
        <v>4</v>
      </c>
      <c r="F11" t="s">
        <v>1</v>
      </c>
      <c r="G11" t="s">
        <v>2</v>
      </c>
      <c r="H11" t="s">
        <v>3</v>
      </c>
      <c r="I11" t="s">
        <v>4</v>
      </c>
      <c r="K11" t="s">
        <v>1</v>
      </c>
      <c r="L11" t="s">
        <v>2</v>
      </c>
      <c r="M11" t="s">
        <v>3</v>
      </c>
      <c r="N11" t="s">
        <v>4</v>
      </c>
      <c r="P11" t="s">
        <v>1</v>
      </c>
      <c r="Q11" t="s">
        <v>2</v>
      </c>
      <c r="R11" t="s">
        <v>3</v>
      </c>
      <c r="S11" t="s">
        <v>4</v>
      </c>
      <c r="U11" t="s">
        <v>1</v>
      </c>
      <c r="V11" t="s">
        <v>2</v>
      </c>
      <c r="W11" t="s">
        <v>3</v>
      </c>
      <c r="X11" t="s">
        <v>4</v>
      </c>
      <c r="Z11" t="s">
        <v>1</v>
      </c>
      <c r="AA11" t="s">
        <v>2</v>
      </c>
      <c r="AB11" t="s">
        <v>3</v>
      </c>
      <c r="AC11" t="s">
        <v>4</v>
      </c>
    </row>
    <row r="12" spans="1:29" x14ac:dyDescent="0.3">
      <c r="A12">
        <v>0</v>
      </c>
      <c r="B12">
        <v>4.7297000000000002</v>
      </c>
      <c r="F12">
        <v>0</v>
      </c>
      <c r="G12">
        <v>4.6284999999999998</v>
      </c>
      <c r="H12">
        <v>1.0069999999999999</v>
      </c>
      <c r="I12">
        <v>0</v>
      </c>
      <c r="K12">
        <v>0</v>
      </c>
      <c r="L12">
        <v>4.1874000000000002</v>
      </c>
      <c r="M12">
        <v>0.873</v>
      </c>
      <c r="P12">
        <v>0</v>
      </c>
      <c r="Q12">
        <v>3.6869999999999998</v>
      </c>
      <c r="R12">
        <v>0.70499999999999996</v>
      </c>
      <c r="U12">
        <v>0</v>
      </c>
      <c r="V12">
        <v>3.1509999999999998</v>
      </c>
      <c r="W12">
        <v>0.49399999999999999</v>
      </c>
      <c r="Z12">
        <v>0</v>
      </c>
      <c r="AA12">
        <v>2.6334</v>
      </c>
      <c r="AB12">
        <v>0.27400000000000002</v>
      </c>
    </row>
    <row r="13" spans="1:29" x14ac:dyDescent="0.3">
      <c r="A13">
        <v>10</v>
      </c>
      <c r="B13">
        <v>7.4191000000000003</v>
      </c>
      <c r="F13">
        <v>10</v>
      </c>
      <c r="G13">
        <v>7.3047000000000004</v>
      </c>
      <c r="H13">
        <v>2.4729999999999999</v>
      </c>
      <c r="I13">
        <v>5.2499999999999998E-2</v>
      </c>
      <c r="K13">
        <v>10</v>
      </c>
      <c r="L13">
        <v>6.5338000000000003</v>
      </c>
      <c r="M13">
        <v>2.0179999999999998</v>
      </c>
      <c r="P13">
        <v>10</v>
      </c>
      <c r="Q13">
        <v>5.6833999999999998</v>
      </c>
      <c r="R13">
        <v>1.736</v>
      </c>
      <c r="U13">
        <v>10</v>
      </c>
      <c r="V13">
        <v>4.8102999999999998</v>
      </c>
      <c r="W13">
        <v>1.337</v>
      </c>
      <c r="Z13">
        <v>10</v>
      </c>
      <c r="AA13">
        <v>3.9861</v>
      </c>
      <c r="AB13">
        <v>0.95499999999999996</v>
      </c>
    </row>
    <row r="14" spans="1:29" x14ac:dyDescent="0.3">
      <c r="A14">
        <v>20</v>
      </c>
      <c r="B14">
        <v>12.411899999999999</v>
      </c>
      <c r="C14">
        <v>4.4930000000000003</v>
      </c>
      <c r="D14">
        <v>1.8839999999999999</v>
      </c>
      <c r="F14">
        <v>20</v>
      </c>
      <c r="G14">
        <v>12.4849</v>
      </c>
      <c r="H14">
        <v>5.5720000000000001</v>
      </c>
      <c r="I14">
        <v>2.0840000000000001</v>
      </c>
      <c r="K14">
        <v>20</v>
      </c>
      <c r="L14">
        <v>10.943199999999999</v>
      </c>
      <c r="M14">
        <v>4.7990000000000004</v>
      </c>
      <c r="P14">
        <v>20</v>
      </c>
      <c r="Q14">
        <v>9.3582000000000001</v>
      </c>
      <c r="R14">
        <v>4.0970000000000004</v>
      </c>
      <c r="U14">
        <v>20</v>
      </c>
      <c r="V14">
        <v>7.8009000000000004</v>
      </c>
      <c r="W14">
        <v>3.3</v>
      </c>
      <c r="Z14">
        <v>20</v>
      </c>
      <c r="AA14">
        <v>6.3766999999999996</v>
      </c>
      <c r="AB14">
        <v>2.5459999999999998</v>
      </c>
    </row>
    <row r="15" spans="1:29" x14ac:dyDescent="0.3">
      <c r="A15">
        <v>30</v>
      </c>
      <c r="B15">
        <v>23.314699999999998</v>
      </c>
      <c r="C15">
        <v>12.28</v>
      </c>
      <c r="D15">
        <v>9.0266999999999999</v>
      </c>
      <c r="F15">
        <v>30</v>
      </c>
      <c r="G15">
        <v>23.842700000000001</v>
      </c>
      <c r="H15">
        <v>14.878</v>
      </c>
      <c r="I15">
        <v>9.2560000000000002</v>
      </c>
      <c r="K15">
        <v>30</v>
      </c>
      <c r="L15">
        <v>20.409099999999999</v>
      </c>
      <c r="M15">
        <v>12.582000000000001</v>
      </c>
      <c r="N15">
        <v>7.2869999999999999</v>
      </c>
      <c r="P15">
        <v>30</v>
      </c>
      <c r="Q15">
        <v>17.048400000000001</v>
      </c>
      <c r="R15">
        <v>10.567</v>
      </c>
      <c r="S15">
        <v>5.4020000000000001</v>
      </c>
      <c r="U15">
        <v>30</v>
      </c>
      <c r="V15">
        <v>13.8924</v>
      </c>
      <c r="W15">
        <v>8.4380000000000006</v>
      </c>
      <c r="X15">
        <v>1.6034999999999999</v>
      </c>
      <c r="Z15">
        <v>30</v>
      </c>
      <c r="AA15">
        <v>11.1264</v>
      </c>
      <c r="AB15">
        <v>6.58</v>
      </c>
      <c r="AC15">
        <v>0.88911111111111096</v>
      </c>
    </row>
    <row r="16" spans="1:29" x14ac:dyDescent="0.3">
      <c r="A16">
        <v>40</v>
      </c>
      <c r="B16">
        <v>51.423999999999999</v>
      </c>
      <c r="C16">
        <v>38.890099999999997</v>
      </c>
      <c r="D16">
        <v>45.012500000000003</v>
      </c>
      <c r="F16">
        <v>40</v>
      </c>
      <c r="G16">
        <v>57.225099999999998</v>
      </c>
      <c r="H16">
        <v>50.930999999999997</v>
      </c>
      <c r="I16">
        <v>48.234000000000002</v>
      </c>
      <c r="K16">
        <v>40</v>
      </c>
      <c r="L16">
        <v>46.089799999999997</v>
      </c>
      <c r="M16">
        <v>27.800999999999998</v>
      </c>
      <c r="N16">
        <v>36.338000000000001</v>
      </c>
      <c r="P16">
        <v>40</v>
      </c>
      <c r="Q16">
        <v>36.545999999999999</v>
      </c>
      <c r="R16">
        <v>30.661999999999999</v>
      </c>
      <c r="S16">
        <v>26.213000000000001</v>
      </c>
      <c r="U16">
        <v>40</v>
      </c>
      <c r="V16">
        <v>28.717400000000001</v>
      </c>
      <c r="W16">
        <v>24.949000000000002</v>
      </c>
      <c r="X16">
        <v>17.843499999999999</v>
      </c>
      <c r="Z16">
        <v>40</v>
      </c>
      <c r="AA16">
        <v>22.330200000000001</v>
      </c>
      <c r="AB16">
        <v>18.620999999999999</v>
      </c>
      <c r="AC16">
        <v>11.5998</v>
      </c>
    </row>
    <row r="18" spans="1:29" x14ac:dyDescent="0.3">
      <c r="A18" t="s">
        <v>6</v>
      </c>
      <c r="B18" t="s">
        <v>5</v>
      </c>
      <c r="F18" t="s">
        <v>6</v>
      </c>
      <c r="G18" t="s">
        <v>5</v>
      </c>
      <c r="K18" t="s">
        <v>6</v>
      </c>
      <c r="L18" t="s">
        <v>5</v>
      </c>
      <c r="M18" t="s">
        <v>13</v>
      </c>
      <c r="P18" t="s">
        <v>6</v>
      </c>
      <c r="Q18" t="s">
        <v>5</v>
      </c>
      <c r="R18" t="s">
        <v>14</v>
      </c>
      <c r="U18" t="s">
        <v>6</v>
      </c>
      <c r="V18" t="s">
        <v>5</v>
      </c>
      <c r="W18" t="s">
        <v>15</v>
      </c>
      <c r="Z18" t="s">
        <v>6</v>
      </c>
      <c r="AA18" t="s">
        <v>5</v>
      </c>
      <c r="AB18" t="s">
        <v>16</v>
      </c>
    </row>
    <row r="19" spans="1:29" x14ac:dyDescent="0.3">
      <c r="A19" t="s">
        <v>1</v>
      </c>
      <c r="B19" t="s">
        <v>2</v>
      </c>
      <c r="C19" t="s">
        <v>3</v>
      </c>
      <c r="D19" t="s">
        <v>4</v>
      </c>
      <c r="F19" t="s">
        <v>1</v>
      </c>
      <c r="G19" t="s">
        <v>2</v>
      </c>
      <c r="H19" t="s">
        <v>3</v>
      </c>
      <c r="I19" t="s">
        <v>4</v>
      </c>
      <c r="K19" t="s">
        <v>1</v>
      </c>
      <c r="L19" t="s">
        <v>2</v>
      </c>
      <c r="M19" t="s">
        <v>3</v>
      </c>
      <c r="N19" t="s">
        <v>4</v>
      </c>
      <c r="P19" t="s">
        <v>1</v>
      </c>
      <c r="Q19" t="s">
        <v>2</v>
      </c>
      <c r="R19" t="s">
        <v>3</v>
      </c>
      <c r="S19" t="s">
        <v>4</v>
      </c>
      <c r="U19" t="s">
        <v>1</v>
      </c>
      <c r="V19" t="s">
        <v>2</v>
      </c>
      <c r="W19" t="s">
        <v>3</v>
      </c>
      <c r="X19" t="s">
        <v>4</v>
      </c>
      <c r="Z19" t="s">
        <v>1</v>
      </c>
      <c r="AA19" t="s">
        <v>2</v>
      </c>
      <c r="AB19" t="s">
        <v>3</v>
      </c>
      <c r="AC19" t="s">
        <v>4</v>
      </c>
    </row>
    <row r="20" spans="1:29" x14ac:dyDescent="0.3">
      <c r="A20">
        <v>0</v>
      </c>
      <c r="B20">
        <v>4.3837000000000002</v>
      </c>
      <c r="F20">
        <v>0</v>
      </c>
      <c r="G20">
        <v>4.2808999999999999</v>
      </c>
      <c r="H20">
        <v>0.999</v>
      </c>
      <c r="I20">
        <v>0</v>
      </c>
      <c r="K20">
        <v>0</v>
      </c>
      <c r="L20">
        <v>3.8803000000000001</v>
      </c>
      <c r="M20">
        <v>0.88100000000000001</v>
      </c>
      <c r="P20">
        <v>0</v>
      </c>
      <c r="Q20">
        <v>3.4340000000000002</v>
      </c>
      <c r="R20">
        <v>0.74</v>
      </c>
      <c r="U20">
        <v>0</v>
      </c>
      <c r="V20">
        <v>2.9712999999999998</v>
      </c>
      <c r="W20">
        <v>0.52400000000000002</v>
      </c>
      <c r="Z20">
        <v>0</v>
      </c>
      <c r="AA20">
        <v>2.5211999999999999</v>
      </c>
      <c r="AB20">
        <v>0.34799999999999998</v>
      </c>
    </row>
    <row r="21" spans="1:29" x14ac:dyDescent="0.3">
      <c r="A21">
        <v>10</v>
      </c>
      <c r="B21">
        <v>6.6182259999999999</v>
      </c>
      <c r="F21">
        <v>10</v>
      </c>
      <c r="G21">
        <v>6.5370999999999997</v>
      </c>
      <c r="H21">
        <v>2.1840000000000002</v>
      </c>
      <c r="I21">
        <v>0</v>
      </c>
      <c r="K21">
        <v>10</v>
      </c>
      <c r="L21">
        <v>5.8428000000000004</v>
      </c>
      <c r="M21">
        <v>1.8979999999999999</v>
      </c>
      <c r="P21">
        <v>10</v>
      </c>
      <c r="Q21">
        <v>5.0987</v>
      </c>
      <c r="R21">
        <v>1.639</v>
      </c>
      <c r="U21">
        <v>10</v>
      </c>
      <c r="V21">
        <v>4.3574000000000002</v>
      </c>
      <c r="W21">
        <v>1.3</v>
      </c>
      <c r="Z21">
        <v>10</v>
      </c>
      <c r="AA21">
        <v>3.6507000000000001</v>
      </c>
      <c r="AB21">
        <v>0.95199999999999996</v>
      </c>
    </row>
    <row r="22" spans="1:29" x14ac:dyDescent="0.3">
      <c r="A22">
        <v>20</v>
      </c>
      <c r="B22">
        <v>10.617000000000001</v>
      </c>
      <c r="F22">
        <v>20</v>
      </c>
      <c r="G22">
        <v>10.642099999999999</v>
      </c>
      <c r="H22">
        <v>5.0339999999999998</v>
      </c>
      <c r="I22">
        <v>0.33779999999999999</v>
      </c>
      <c r="K22">
        <v>20</v>
      </c>
      <c r="L22">
        <v>9.3533000000000008</v>
      </c>
      <c r="M22">
        <v>4.2859999999999996</v>
      </c>
      <c r="P22">
        <v>20</v>
      </c>
      <c r="Q22">
        <v>8.0153999999999996</v>
      </c>
      <c r="R22">
        <v>3.6179999999999999</v>
      </c>
      <c r="U22">
        <v>20</v>
      </c>
      <c r="V22">
        <v>6.7275</v>
      </c>
      <c r="W22">
        <v>2.9390000000000001</v>
      </c>
      <c r="Z22">
        <v>20</v>
      </c>
      <c r="AA22">
        <v>5.5396999999999998</v>
      </c>
      <c r="AB22">
        <v>2.27</v>
      </c>
    </row>
    <row r="23" spans="1:29" x14ac:dyDescent="0.3">
      <c r="A23">
        <v>30</v>
      </c>
      <c r="B23">
        <v>18.817499999999999</v>
      </c>
      <c r="C23">
        <v>7.5010000000000003</v>
      </c>
      <c r="D23">
        <v>5.31663</v>
      </c>
      <c r="F23">
        <v>30</v>
      </c>
      <c r="G23">
        <v>19.2028</v>
      </c>
      <c r="H23">
        <v>11.863</v>
      </c>
      <c r="I23">
        <v>5.4261499999999998</v>
      </c>
      <c r="K23">
        <v>30</v>
      </c>
      <c r="L23">
        <v>16.423400000000001</v>
      </c>
      <c r="M23">
        <v>10.346</v>
      </c>
      <c r="N23">
        <v>4.2969999999999997</v>
      </c>
      <c r="P23">
        <v>30</v>
      </c>
      <c r="Q23">
        <v>13.7309</v>
      </c>
      <c r="R23">
        <v>8.6890000000000001</v>
      </c>
      <c r="S23">
        <v>3.2185999999999999</v>
      </c>
      <c r="U23">
        <v>30</v>
      </c>
      <c r="V23">
        <v>11.266999999999999</v>
      </c>
      <c r="W23">
        <v>6.9379999999999997</v>
      </c>
      <c r="X23">
        <v>2.278</v>
      </c>
      <c r="Z23">
        <v>30</v>
      </c>
      <c r="AA23">
        <v>9.0701000000000001</v>
      </c>
      <c r="AB23">
        <v>5.4119999999999999</v>
      </c>
    </row>
    <row r="24" spans="1:29" x14ac:dyDescent="0.3">
      <c r="A24">
        <v>40</v>
      </c>
      <c r="B24">
        <v>38.091000000000001</v>
      </c>
      <c r="C24">
        <v>23.630400000000002</v>
      </c>
      <c r="D24">
        <v>25.675000000000001</v>
      </c>
      <c r="F24">
        <v>40</v>
      </c>
      <c r="G24">
        <v>40.983899999999998</v>
      </c>
      <c r="H24">
        <v>35.49</v>
      </c>
      <c r="I24">
        <v>26.9085</v>
      </c>
      <c r="K24">
        <v>40</v>
      </c>
      <c r="L24">
        <v>33.445500000000003</v>
      </c>
      <c r="M24">
        <v>29.286000000000001</v>
      </c>
      <c r="N24">
        <v>20.513999999999999</v>
      </c>
      <c r="P24">
        <v>40</v>
      </c>
      <c r="Q24">
        <v>27.064900000000002</v>
      </c>
      <c r="R24">
        <v>23.495000000000001</v>
      </c>
      <c r="S24">
        <v>14.81</v>
      </c>
      <c r="U24">
        <v>40</v>
      </c>
      <c r="V24">
        <v>21.462199999999999</v>
      </c>
      <c r="W24">
        <v>18.376999999999999</v>
      </c>
      <c r="X24">
        <v>10.25</v>
      </c>
      <c r="Z24">
        <v>40</v>
      </c>
      <c r="AA24">
        <v>16.723299999999998</v>
      </c>
      <c r="AB24">
        <v>14.073</v>
      </c>
      <c r="AC24">
        <v>6.7522000000000002</v>
      </c>
    </row>
    <row r="26" spans="1:29" x14ac:dyDescent="0.3">
      <c r="A26" t="s">
        <v>8</v>
      </c>
      <c r="B26" t="s">
        <v>5</v>
      </c>
      <c r="F26" t="s">
        <v>8</v>
      </c>
      <c r="G26" t="s">
        <v>5</v>
      </c>
      <c r="K26" t="s">
        <v>8</v>
      </c>
      <c r="L26" t="s">
        <v>5</v>
      </c>
      <c r="M26" t="s">
        <v>13</v>
      </c>
      <c r="P26" t="s">
        <v>8</v>
      </c>
      <c r="Q26" t="s">
        <v>5</v>
      </c>
      <c r="R26" t="s">
        <v>14</v>
      </c>
      <c r="U26" t="s">
        <v>8</v>
      </c>
      <c r="V26" t="s">
        <v>5</v>
      </c>
      <c r="W26" t="s">
        <v>15</v>
      </c>
      <c r="Z26" t="s">
        <v>8</v>
      </c>
      <c r="AA26" t="s">
        <v>5</v>
      </c>
      <c r="AB26" t="s">
        <v>16</v>
      </c>
    </row>
    <row r="27" spans="1:29" x14ac:dyDescent="0.3">
      <c r="A27" t="s">
        <v>1</v>
      </c>
      <c r="B27" t="s">
        <v>2</v>
      </c>
      <c r="C27" t="s">
        <v>3</v>
      </c>
      <c r="D27" t="s">
        <v>4</v>
      </c>
      <c r="F27" t="s">
        <v>1</v>
      </c>
      <c r="G27" t="s">
        <v>2</v>
      </c>
      <c r="H27" t="s">
        <v>3</v>
      </c>
      <c r="I27" t="s">
        <v>4</v>
      </c>
      <c r="K27" t="s">
        <v>1</v>
      </c>
      <c r="L27" t="s">
        <v>2</v>
      </c>
      <c r="M27" t="s">
        <v>3</v>
      </c>
      <c r="N27" t="s">
        <v>4</v>
      </c>
      <c r="P27" t="s">
        <v>1</v>
      </c>
      <c r="Q27" t="s">
        <v>2</v>
      </c>
      <c r="R27" t="s">
        <v>3</v>
      </c>
      <c r="S27" t="s">
        <v>4</v>
      </c>
      <c r="U27" t="s">
        <v>1</v>
      </c>
      <c r="V27" t="s">
        <v>2</v>
      </c>
      <c r="W27" t="s">
        <v>3</v>
      </c>
      <c r="X27" t="s">
        <v>4</v>
      </c>
      <c r="Z27" t="s">
        <v>1</v>
      </c>
      <c r="AA27" t="s">
        <v>2</v>
      </c>
      <c r="AB27" t="s">
        <v>3</v>
      </c>
      <c r="AC27" t="s">
        <v>4</v>
      </c>
    </row>
    <row r="28" spans="1:29" x14ac:dyDescent="0.3">
      <c r="A28">
        <v>0</v>
      </c>
      <c r="B28">
        <v>4.0366999999999997</v>
      </c>
      <c r="F28">
        <v>0</v>
      </c>
      <c r="G28">
        <v>3.9159999999999999</v>
      </c>
      <c r="H28">
        <v>1</v>
      </c>
      <c r="I28">
        <v>0</v>
      </c>
      <c r="K28">
        <v>0</v>
      </c>
      <c r="L28">
        <v>3.5655000000000001</v>
      </c>
      <c r="M28">
        <v>0.82599999999999996</v>
      </c>
      <c r="P28">
        <v>0</v>
      </c>
      <c r="Q28">
        <v>3.1648000000000001</v>
      </c>
      <c r="R28">
        <v>0.76100000000000001</v>
      </c>
      <c r="U28">
        <v>0</v>
      </c>
      <c r="V28">
        <v>2.7696000000000001</v>
      </c>
      <c r="W28">
        <v>0.59299999999999997</v>
      </c>
      <c r="Z28">
        <v>0</v>
      </c>
      <c r="AA28">
        <v>2.7696000000000001</v>
      </c>
      <c r="AB28">
        <v>0.59399999999999997</v>
      </c>
    </row>
    <row r="29" spans="1:29" x14ac:dyDescent="0.3">
      <c r="A29">
        <v>10</v>
      </c>
      <c r="B29">
        <v>5.8915100000000002</v>
      </c>
      <c r="F29">
        <v>10</v>
      </c>
      <c r="G29">
        <v>5.7919999999999998</v>
      </c>
      <c r="H29">
        <v>2.0499999999999998</v>
      </c>
      <c r="I29">
        <v>0</v>
      </c>
      <c r="K29">
        <v>10</v>
      </c>
      <c r="L29">
        <v>5.1818999999999997</v>
      </c>
      <c r="M29">
        <v>1.8440000000000001</v>
      </c>
      <c r="P29">
        <v>10</v>
      </c>
      <c r="Q29">
        <v>4.5392000000000001</v>
      </c>
      <c r="R29">
        <v>1.52</v>
      </c>
      <c r="U29">
        <v>10</v>
      </c>
      <c r="V29">
        <v>3.9079999999999999</v>
      </c>
      <c r="W29">
        <v>1.2390000000000001</v>
      </c>
      <c r="Z29">
        <v>10</v>
      </c>
      <c r="AA29">
        <v>3.9079000000000002</v>
      </c>
      <c r="AB29">
        <v>1.2370000000000001</v>
      </c>
    </row>
    <row r="30" spans="1:29" x14ac:dyDescent="0.3">
      <c r="A30">
        <v>20</v>
      </c>
      <c r="B30">
        <v>9.0848999999999993</v>
      </c>
      <c r="F30">
        <v>20</v>
      </c>
      <c r="G30">
        <v>9.0089000000000006</v>
      </c>
      <c r="H30">
        <v>4.3390000000000004</v>
      </c>
      <c r="I30">
        <v>0</v>
      </c>
      <c r="K30">
        <v>20</v>
      </c>
      <c r="L30">
        <v>7.9298000000000002</v>
      </c>
      <c r="M30">
        <v>3.778</v>
      </c>
      <c r="P30">
        <v>20</v>
      </c>
      <c r="Q30">
        <v>6.8087</v>
      </c>
      <c r="R30">
        <v>3.2130000000000001</v>
      </c>
      <c r="U30">
        <v>20</v>
      </c>
      <c r="V30">
        <v>5.7504</v>
      </c>
      <c r="W30">
        <v>2.6080000000000001</v>
      </c>
      <c r="Z30">
        <v>20</v>
      </c>
      <c r="AA30">
        <v>5.7502000000000004</v>
      </c>
      <c r="AB30">
        <v>2.61</v>
      </c>
    </row>
    <row r="31" spans="1:29" x14ac:dyDescent="0.3">
      <c r="A31">
        <v>30</v>
      </c>
      <c r="B31">
        <v>15.127000000000001</v>
      </c>
      <c r="F31">
        <v>30</v>
      </c>
      <c r="G31">
        <v>15.270099999999999</v>
      </c>
      <c r="H31">
        <v>9.9589999999999996</v>
      </c>
      <c r="I31">
        <v>1.512</v>
      </c>
      <c r="K31">
        <v>30</v>
      </c>
      <c r="L31">
        <v>13.117599999999999</v>
      </c>
      <c r="M31">
        <v>8.3819999999999997</v>
      </c>
      <c r="N31">
        <v>1.228</v>
      </c>
      <c r="P31">
        <v>30</v>
      </c>
      <c r="Q31">
        <v>11.006399999999999</v>
      </c>
      <c r="R31">
        <v>7.0140000000000002</v>
      </c>
      <c r="S31">
        <v>0.58420000000000005</v>
      </c>
      <c r="U31">
        <v>30</v>
      </c>
      <c r="V31">
        <v>9.0643999999999991</v>
      </c>
      <c r="W31">
        <v>5.673</v>
      </c>
      <c r="Z31">
        <v>30</v>
      </c>
      <c r="AA31">
        <v>9.0642999999999994</v>
      </c>
      <c r="AB31">
        <v>5.673</v>
      </c>
    </row>
    <row r="32" spans="1:29" x14ac:dyDescent="0.3">
      <c r="A32">
        <v>40</v>
      </c>
      <c r="B32">
        <v>28.222000000000001</v>
      </c>
      <c r="C32">
        <v>12.073700000000001</v>
      </c>
      <c r="D32">
        <v>12.506</v>
      </c>
      <c r="F32">
        <v>40</v>
      </c>
      <c r="G32">
        <v>29.729500000000002</v>
      </c>
      <c r="H32">
        <v>25.952000000000002</v>
      </c>
      <c r="I32">
        <v>12.913</v>
      </c>
      <c r="K32">
        <v>40</v>
      </c>
      <c r="L32">
        <v>24.665400000000002</v>
      </c>
      <c r="M32">
        <v>21.574999999999999</v>
      </c>
      <c r="N32">
        <v>9.7591999999999999</v>
      </c>
      <c r="P32">
        <v>40</v>
      </c>
      <c r="Q32">
        <v>19.971900000000002</v>
      </c>
      <c r="R32">
        <v>16.759</v>
      </c>
      <c r="S32">
        <v>7.1710000000000003</v>
      </c>
      <c r="U32">
        <v>40</v>
      </c>
      <c r="V32">
        <v>15.8469</v>
      </c>
      <c r="W32">
        <v>13.651999999999999</v>
      </c>
      <c r="X32">
        <v>5.0049999999999999</v>
      </c>
      <c r="Z32">
        <v>40</v>
      </c>
      <c r="AA32">
        <v>15.8474</v>
      </c>
      <c r="AB32">
        <v>13.616</v>
      </c>
      <c r="AC32">
        <v>5.0107699999999999</v>
      </c>
    </row>
    <row r="34" spans="1:29" x14ac:dyDescent="0.3">
      <c r="A34" t="s">
        <v>9</v>
      </c>
      <c r="B34" t="s">
        <v>5</v>
      </c>
      <c r="F34" t="s">
        <v>9</v>
      </c>
      <c r="G34" t="s">
        <v>5</v>
      </c>
      <c r="K34" t="s">
        <v>9</v>
      </c>
      <c r="L34" t="s">
        <v>5</v>
      </c>
      <c r="M34" t="s">
        <v>13</v>
      </c>
      <c r="P34" t="s">
        <v>9</v>
      </c>
      <c r="Q34" t="s">
        <v>5</v>
      </c>
      <c r="R34" t="s">
        <v>14</v>
      </c>
      <c r="U34" t="s">
        <v>9</v>
      </c>
      <c r="V34" t="s">
        <v>5</v>
      </c>
      <c r="W34" t="s">
        <v>15</v>
      </c>
      <c r="Z34" t="s">
        <v>9</v>
      </c>
      <c r="AA34" t="s">
        <v>5</v>
      </c>
      <c r="AB34" t="s">
        <v>16</v>
      </c>
    </row>
    <row r="35" spans="1:29" x14ac:dyDescent="0.3">
      <c r="A35" t="s">
        <v>1</v>
      </c>
      <c r="B35" t="s">
        <v>2</v>
      </c>
      <c r="C35" t="s">
        <v>3</v>
      </c>
      <c r="D35" t="s">
        <v>4</v>
      </c>
      <c r="F35" t="s">
        <v>1</v>
      </c>
      <c r="G35" t="s">
        <v>2</v>
      </c>
      <c r="H35" t="s">
        <v>3</v>
      </c>
      <c r="I35" t="s">
        <v>4</v>
      </c>
      <c r="K35" t="s">
        <v>1</v>
      </c>
      <c r="L35" t="s">
        <v>2</v>
      </c>
      <c r="M35" t="s">
        <v>3</v>
      </c>
      <c r="N35" t="s">
        <v>4</v>
      </c>
      <c r="P35" t="s">
        <v>1</v>
      </c>
      <c r="Q35" t="s">
        <v>2</v>
      </c>
      <c r="R35" t="s">
        <v>3</v>
      </c>
      <c r="S35" t="s">
        <v>4</v>
      </c>
      <c r="U35" t="s">
        <v>1</v>
      </c>
      <c r="V35" t="s">
        <v>2</v>
      </c>
      <c r="W35" t="s">
        <v>3</v>
      </c>
      <c r="X35" t="s">
        <v>4</v>
      </c>
      <c r="Z35" t="s">
        <v>1</v>
      </c>
      <c r="AA35" t="s">
        <v>2</v>
      </c>
      <c r="AB35" t="s">
        <v>3</v>
      </c>
      <c r="AC35" t="s">
        <v>4</v>
      </c>
    </row>
    <row r="36" spans="1:29" x14ac:dyDescent="0.3">
      <c r="A36">
        <v>0</v>
      </c>
      <c r="B36">
        <v>3.7010000000000001</v>
      </c>
      <c r="F36">
        <v>0</v>
      </c>
      <c r="G36">
        <v>3.5739000000000001</v>
      </c>
      <c r="H36">
        <v>1.0209999999999999</v>
      </c>
      <c r="I36">
        <v>0</v>
      </c>
      <c r="K36">
        <v>0</v>
      </c>
      <c r="L36">
        <v>3.2544</v>
      </c>
      <c r="M36">
        <v>0.878</v>
      </c>
      <c r="P36">
        <v>0</v>
      </c>
      <c r="Q36">
        <v>2.9064000000000001</v>
      </c>
      <c r="R36">
        <v>0.76400000000000001</v>
      </c>
      <c r="U36">
        <v>0</v>
      </c>
      <c r="V36">
        <v>2.5596000000000001</v>
      </c>
      <c r="W36">
        <v>0.63700000000000001</v>
      </c>
      <c r="Z36">
        <v>0</v>
      </c>
      <c r="AA36">
        <v>2.2290000000000001</v>
      </c>
      <c r="AB36">
        <v>0.42199999999999999</v>
      </c>
    </row>
    <row r="37" spans="1:29" x14ac:dyDescent="0.3">
      <c r="A37">
        <v>10</v>
      </c>
      <c r="B37">
        <v>5.2112699999999998</v>
      </c>
      <c r="F37">
        <v>10</v>
      </c>
      <c r="G37">
        <v>5.0970000000000004</v>
      </c>
      <c r="H37">
        <v>1.9259999999999999</v>
      </c>
      <c r="I37">
        <v>0</v>
      </c>
      <c r="K37">
        <v>10</v>
      </c>
      <c r="L37">
        <v>4.5762999999999998</v>
      </c>
      <c r="M37">
        <v>1.704</v>
      </c>
      <c r="P37">
        <v>10</v>
      </c>
      <c r="Q37">
        <v>4.0235000000000003</v>
      </c>
      <c r="R37">
        <v>1.4019999999999999</v>
      </c>
      <c r="U37">
        <v>10</v>
      </c>
      <c r="V37">
        <v>3.4832000000000001</v>
      </c>
      <c r="W37">
        <v>1.2010000000000001</v>
      </c>
      <c r="Z37">
        <v>10</v>
      </c>
      <c r="AA37">
        <v>2.9822000000000002</v>
      </c>
      <c r="AB37">
        <v>0.94599999999999995</v>
      </c>
    </row>
    <row r="38" spans="1:29" x14ac:dyDescent="0.3">
      <c r="A38">
        <v>20</v>
      </c>
      <c r="B38">
        <v>7.6744700000000003</v>
      </c>
      <c r="F38">
        <v>20</v>
      </c>
      <c r="G38">
        <v>7.6036000000000001</v>
      </c>
      <c r="H38">
        <v>3.8</v>
      </c>
      <c r="I38">
        <v>0</v>
      </c>
      <c r="K38">
        <v>20</v>
      </c>
      <c r="L38">
        <v>6.6898</v>
      </c>
      <c r="M38">
        <v>3.3159999999999998</v>
      </c>
      <c r="P38">
        <v>20</v>
      </c>
      <c r="Q38">
        <v>5.7671999999999999</v>
      </c>
      <c r="R38">
        <v>2.827</v>
      </c>
      <c r="U38">
        <v>20</v>
      </c>
      <c r="V38">
        <v>4.9002999999999997</v>
      </c>
      <c r="W38">
        <v>2.3260000000000001</v>
      </c>
      <c r="Z38">
        <v>20</v>
      </c>
      <c r="AA38">
        <v>4.1077000000000004</v>
      </c>
      <c r="AB38">
        <v>1.8360000000000001</v>
      </c>
    </row>
    <row r="39" spans="1:29" x14ac:dyDescent="0.3">
      <c r="A39">
        <v>30</v>
      </c>
      <c r="B39">
        <v>12.1699</v>
      </c>
      <c r="F39">
        <v>30</v>
      </c>
      <c r="G39">
        <v>12.162000000000001</v>
      </c>
      <c r="H39">
        <v>8.1029999999999998</v>
      </c>
      <c r="I39">
        <v>0</v>
      </c>
      <c r="K39">
        <v>30</v>
      </c>
      <c r="L39">
        <v>10.45</v>
      </c>
      <c r="M39">
        <v>6.9480000000000004</v>
      </c>
      <c r="P39">
        <v>30</v>
      </c>
      <c r="Q39">
        <v>8.7856000000000005</v>
      </c>
      <c r="R39">
        <v>5.7569999999999997</v>
      </c>
      <c r="U39">
        <v>30</v>
      </c>
      <c r="V39">
        <v>7.2685000000000004</v>
      </c>
      <c r="W39">
        <v>4.6890000000000001</v>
      </c>
      <c r="Z39">
        <v>30</v>
      </c>
      <c r="AA39">
        <v>5.9310999999999998</v>
      </c>
      <c r="AB39">
        <v>3.657</v>
      </c>
    </row>
    <row r="40" spans="1:29" x14ac:dyDescent="0.3">
      <c r="A40">
        <v>40</v>
      </c>
      <c r="B40">
        <v>20.827000000000002</v>
      </c>
      <c r="F40">
        <v>40</v>
      </c>
      <c r="G40">
        <v>21.902000000000001</v>
      </c>
      <c r="H40">
        <v>19.465</v>
      </c>
      <c r="I40">
        <v>2.79</v>
      </c>
      <c r="K40">
        <v>40</v>
      </c>
      <c r="L40">
        <v>18.1252</v>
      </c>
      <c r="M40">
        <v>16.550999999999998</v>
      </c>
      <c r="N40">
        <v>2.573</v>
      </c>
      <c r="P40">
        <v>40</v>
      </c>
      <c r="Q40">
        <v>14.7303</v>
      </c>
      <c r="R40">
        <v>13.058999999999999</v>
      </c>
      <c r="S40">
        <v>1.7290000000000001</v>
      </c>
      <c r="U40">
        <v>40</v>
      </c>
      <c r="V40">
        <v>11.7691</v>
      </c>
      <c r="W40">
        <v>10.172000000000001</v>
      </c>
      <c r="X40">
        <v>1.3029999999999999</v>
      </c>
      <c r="Z40">
        <v>40</v>
      </c>
      <c r="AA40">
        <v>9.2498000000000005</v>
      </c>
      <c r="AB40">
        <v>7.8259999999999996</v>
      </c>
      <c r="AC40">
        <v>0.48359999999999997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2971-9CE0-485D-897F-82825955F7FC}">
  <dimension ref="A1:AC40"/>
  <sheetViews>
    <sheetView tabSelected="1" topLeftCell="F10" workbookViewId="0">
      <selection activeCell="I30" sqref="I30"/>
    </sheetView>
  </sheetViews>
  <sheetFormatPr defaultRowHeight="14.4" x14ac:dyDescent="0.3"/>
  <cols>
    <col min="1" max="1" width="15.33203125" customWidth="1"/>
    <col min="6" max="6" width="18.109375" customWidth="1"/>
    <col min="11" max="11" width="16.33203125" customWidth="1"/>
    <col min="13" max="13" width="10.109375" customWidth="1"/>
    <col min="16" max="16" width="14.109375" bestFit="1" customWidth="1"/>
    <col min="18" max="18" width="11.33203125" customWidth="1"/>
    <col min="21" max="21" width="14" customWidth="1"/>
    <col min="22" max="22" width="10.109375" customWidth="1"/>
    <col min="23" max="23" width="11.44140625" customWidth="1"/>
    <col min="24" max="24" width="9.88671875" customWidth="1"/>
    <col min="26" max="26" width="14" customWidth="1"/>
    <col min="27" max="27" width="10.109375" customWidth="1"/>
    <col min="28" max="28" width="11.44140625" customWidth="1"/>
    <col min="29" max="29" width="9.88671875" customWidth="1"/>
  </cols>
  <sheetData>
    <row r="1" spans="1:29" x14ac:dyDescent="0.3">
      <c r="A1" t="s">
        <v>10</v>
      </c>
      <c r="F1" t="s">
        <v>11</v>
      </c>
      <c r="K1" t="s">
        <v>11</v>
      </c>
      <c r="P1" t="s">
        <v>11</v>
      </c>
      <c r="U1" t="s">
        <v>11</v>
      </c>
      <c r="Z1" t="s">
        <v>11</v>
      </c>
    </row>
    <row r="2" spans="1:29" x14ac:dyDescent="0.3">
      <c r="A2" t="s">
        <v>0</v>
      </c>
      <c r="B2" t="s">
        <v>5</v>
      </c>
      <c r="F2" t="s">
        <v>0</v>
      </c>
      <c r="G2" t="s">
        <v>5</v>
      </c>
      <c r="K2" t="s">
        <v>0</v>
      </c>
      <c r="L2" t="s">
        <v>5</v>
      </c>
      <c r="M2" t="s">
        <v>13</v>
      </c>
      <c r="P2" t="s">
        <v>0</v>
      </c>
      <c r="Q2" t="s">
        <v>5</v>
      </c>
      <c r="R2" t="s">
        <v>14</v>
      </c>
      <c r="U2" t="s">
        <v>0</v>
      </c>
      <c r="V2" t="s">
        <v>5</v>
      </c>
      <c r="W2" t="s">
        <v>15</v>
      </c>
      <c r="Z2" t="s">
        <v>0</v>
      </c>
      <c r="AA2" t="s">
        <v>5</v>
      </c>
      <c r="AB2" t="s">
        <v>16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I3" t="s">
        <v>4</v>
      </c>
      <c r="K3" t="s">
        <v>1</v>
      </c>
      <c r="L3" t="s">
        <v>2</v>
      </c>
      <c r="M3" t="s">
        <v>3</v>
      </c>
      <c r="N3" t="s">
        <v>4</v>
      </c>
      <c r="P3" t="s">
        <v>1</v>
      </c>
      <c r="Q3" t="s">
        <v>2</v>
      </c>
      <c r="R3" t="s">
        <v>3</v>
      </c>
      <c r="S3" t="s">
        <v>4</v>
      </c>
      <c r="U3" t="s">
        <v>1</v>
      </c>
      <c r="V3" t="s">
        <v>2</v>
      </c>
      <c r="W3" t="s">
        <v>3</v>
      </c>
      <c r="X3" t="s">
        <v>4</v>
      </c>
      <c r="Z3" t="s">
        <v>1</v>
      </c>
      <c r="AA3" t="s">
        <v>2</v>
      </c>
      <c r="AB3" t="s">
        <v>3</v>
      </c>
      <c r="AC3" t="s">
        <v>4</v>
      </c>
    </row>
    <row r="4" spans="1:29" x14ac:dyDescent="0.3">
      <c r="A4">
        <v>0</v>
      </c>
      <c r="F4">
        <v>0</v>
      </c>
      <c r="K4">
        <v>0</v>
      </c>
      <c r="P4">
        <v>0</v>
      </c>
      <c r="U4">
        <v>0</v>
      </c>
      <c r="Z4">
        <v>0</v>
      </c>
    </row>
    <row r="5" spans="1:29" x14ac:dyDescent="0.3">
      <c r="A5">
        <v>10</v>
      </c>
      <c r="F5">
        <v>10</v>
      </c>
      <c r="K5">
        <v>10</v>
      </c>
      <c r="P5">
        <v>10</v>
      </c>
      <c r="U5">
        <v>10</v>
      </c>
      <c r="Z5">
        <v>10</v>
      </c>
    </row>
    <row r="6" spans="1:29" x14ac:dyDescent="0.3">
      <c r="A6">
        <v>20</v>
      </c>
      <c r="F6">
        <v>20</v>
      </c>
      <c r="K6">
        <v>20</v>
      </c>
      <c r="P6">
        <v>20</v>
      </c>
      <c r="U6">
        <v>20</v>
      </c>
      <c r="Z6">
        <v>20</v>
      </c>
    </row>
    <row r="7" spans="1:29" x14ac:dyDescent="0.3">
      <c r="A7">
        <v>30</v>
      </c>
      <c r="F7">
        <v>30</v>
      </c>
      <c r="K7">
        <v>30</v>
      </c>
      <c r="P7">
        <v>30</v>
      </c>
      <c r="U7">
        <v>30</v>
      </c>
      <c r="Z7">
        <v>30</v>
      </c>
    </row>
    <row r="8" spans="1:29" x14ac:dyDescent="0.3">
      <c r="A8">
        <v>40</v>
      </c>
      <c r="F8">
        <v>40</v>
      </c>
      <c r="K8">
        <v>40</v>
      </c>
      <c r="P8">
        <v>40</v>
      </c>
      <c r="U8">
        <v>40</v>
      </c>
      <c r="Z8">
        <v>40</v>
      </c>
    </row>
    <row r="10" spans="1:29" x14ac:dyDescent="0.3">
      <c r="A10" t="s">
        <v>7</v>
      </c>
      <c r="B10" t="s">
        <v>5</v>
      </c>
      <c r="F10" t="s">
        <v>7</v>
      </c>
      <c r="G10" t="s">
        <v>5</v>
      </c>
      <c r="K10" t="s">
        <v>7</v>
      </c>
      <c r="L10" t="s">
        <v>5</v>
      </c>
      <c r="M10" t="s">
        <v>13</v>
      </c>
      <c r="P10" t="s">
        <v>7</v>
      </c>
      <c r="Q10" t="s">
        <v>5</v>
      </c>
      <c r="R10" t="s">
        <v>14</v>
      </c>
      <c r="U10" t="s">
        <v>7</v>
      </c>
      <c r="V10" t="s">
        <v>5</v>
      </c>
      <c r="W10" t="s">
        <v>15</v>
      </c>
      <c r="Z10" t="s">
        <v>7</v>
      </c>
      <c r="AA10" t="s">
        <v>5</v>
      </c>
      <c r="AB10" t="s">
        <v>16</v>
      </c>
    </row>
    <row r="11" spans="1:29" x14ac:dyDescent="0.3">
      <c r="A11" t="s">
        <v>1</v>
      </c>
      <c r="B11" t="s">
        <v>2</v>
      </c>
      <c r="C11" t="s">
        <v>3</v>
      </c>
      <c r="D11" t="s">
        <v>4</v>
      </c>
      <c r="F11" t="s">
        <v>1</v>
      </c>
      <c r="G11" t="s">
        <v>2</v>
      </c>
      <c r="H11" t="s">
        <v>3</v>
      </c>
      <c r="I11" t="s">
        <v>4</v>
      </c>
      <c r="K11" t="s">
        <v>1</v>
      </c>
      <c r="L11" t="s">
        <v>2</v>
      </c>
      <c r="M11" t="s">
        <v>3</v>
      </c>
      <c r="N11" t="s">
        <v>4</v>
      </c>
      <c r="P11" t="s">
        <v>1</v>
      </c>
      <c r="Q11" t="s">
        <v>2</v>
      </c>
      <c r="R11" t="s">
        <v>3</v>
      </c>
      <c r="S11" t="s">
        <v>4</v>
      </c>
      <c r="U11" t="s">
        <v>1</v>
      </c>
      <c r="V11" t="s">
        <v>2</v>
      </c>
      <c r="W11" t="s">
        <v>3</v>
      </c>
      <c r="X11" t="s">
        <v>4</v>
      </c>
      <c r="Z11" t="s">
        <v>1</v>
      </c>
      <c r="AA11" t="s">
        <v>2</v>
      </c>
      <c r="AB11" t="s">
        <v>3</v>
      </c>
      <c r="AC11" t="s">
        <v>4</v>
      </c>
    </row>
    <row r="12" spans="1:29" x14ac:dyDescent="0.3">
      <c r="A12">
        <v>0</v>
      </c>
      <c r="F12">
        <v>0</v>
      </c>
      <c r="G12">
        <v>4.9272999999999998</v>
      </c>
      <c r="H12">
        <v>1.002</v>
      </c>
      <c r="K12">
        <v>0</v>
      </c>
      <c r="L12">
        <v>4.4801000000000002</v>
      </c>
      <c r="M12">
        <v>0.93500000000000005</v>
      </c>
      <c r="P12">
        <v>0</v>
      </c>
      <c r="Q12">
        <v>3.9253</v>
      </c>
      <c r="R12">
        <v>0.68799999999999994</v>
      </c>
      <c r="U12">
        <v>0</v>
      </c>
      <c r="V12">
        <v>3.3193000000000001</v>
      </c>
      <c r="W12">
        <v>0.46300000000000002</v>
      </c>
      <c r="Z12">
        <v>0</v>
      </c>
      <c r="AA12">
        <v>2.7040000000000002</v>
      </c>
      <c r="AB12">
        <v>0.11899999999999999</v>
      </c>
    </row>
    <row r="13" spans="1:29" x14ac:dyDescent="0.3">
      <c r="A13">
        <v>10</v>
      </c>
      <c r="F13">
        <v>10</v>
      </c>
      <c r="G13">
        <v>7.7988</v>
      </c>
      <c r="H13">
        <v>2.508</v>
      </c>
      <c r="I13">
        <v>3.5999999999999997E-2</v>
      </c>
      <c r="K13">
        <v>10</v>
      </c>
      <c r="L13">
        <v>7.0590000000000002</v>
      </c>
      <c r="M13">
        <v>2.1469999999999998</v>
      </c>
      <c r="P13">
        <v>10</v>
      </c>
      <c r="Q13">
        <v>6.2092999999999998</v>
      </c>
      <c r="R13">
        <v>1.887</v>
      </c>
      <c r="U13">
        <v>10</v>
      </c>
      <c r="V13">
        <v>5.2843999999999998</v>
      </c>
      <c r="W13">
        <v>1.4410000000000001</v>
      </c>
      <c r="Z13">
        <v>10</v>
      </c>
      <c r="AA13">
        <v>4.3045999999999998</v>
      </c>
      <c r="AB13">
        <v>0.93700000000000006</v>
      </c>
    </row>
    <row r="14" spans="1:29" x14ac:dyDescent="0.3">
      <c r="A14">
        <v>20</v>
      </c>
      <c r="F14">
        <v>20</v>
      </c>
      <c r="G14">
        <v>13.2483</v>
      </c>
      <c r="H14">
        <v>5.8230000000000004</v>
      </c>
      <c r="I14">
        <v>1.3320000000000001</v>
      </c>
      <c r="K14">
        <v>20</v>
      </c>
      <c r="L14">
        <v>11.808299999999999</v>
      </c>
      <c r="M14">
        <v>5.4580000000000002</v>
      </c>
      <c r="P14">
        <v>20</v>
      </c>
      <c r="Q14">
        <v>10.1852</v>
      </c>
      <c r="R14">
        <v>4.6479999999999997</v>
      </c>
      <c r="U14">
        <v>20</v>
      </c>
      <c r="V14">
        <v>8.6237999999999992</v>
      </c>
      <c r="W14">
        <v>3.5449999999999999</v>
      </c>
      <c r="Z14">
        <v>20</v>
      </c>
      <c r="AA14">
        <v>7.1425999999999998</v>
      </c>
      <c r="AB14">
        <v>2.9449999999999998</v>
      </c>
    </row>
    <row r="15" spans="1:29" x14ac:dyDescent="0.3">
      <c r="A15">
        <v>30</v>
      </c>
      <c r="F15">
        <v>30</v>
      </c>
      <c r="G15">
        <v>25.136299999999999</v>
      </c>
      <c r="H15">
        <v>15.753</v>
      </c>
      <c r="I15">
        <v>12.473000000000001</v>
      </c>
      <c r="K15">
        <v>30</v>
      </c>
      <c r="L15">
        <v>23.092300000000002</v>
      </c>
      <c r="M15">
        <v>14.01</v>
      </c>
      <c r="N15">
        <v>10.0974</v>
      </c>
      <c r="P15">
        <v>30</v>
      </c>
      <c r="Q15">
        <v>18.538399999999999</v>
      </c>
      <c r="R15">
        <v>11.044</v>
      </c>
      <c r="S15">
        <v>7.2569999999999997</v>
      </c>
      <c r="U15">
        <v>30</v>
      </c>
      <c r="V15">
        <v>15.291600000000001</v>
      </c>
      <c r="W15">
        <v>9.2170000000000005</v>
      </c>
      <c r="X15">
        <v>5.3419999999999996</v>
      </c>
      <c r="Z15">
        <v>30</v>
      </c>
      <c r="AA15">
        <v>12.385400000000001</v>
      </c>
      <c r="AB15">
        <v>7.2629999999999999</v>
      </c>
      <c r="AC15">
        <v>1.7230000000000001</v>
      </c>
    </row>
    <row r="16" spans="1:29" x14ac:dyDescent="0.3">
      <c r="A16">
        <v>40</v>
      </c>
      <c r="F16">
        <v>40</v>
      </c>
      <c r="G16">
        <v>56.520899999999997</v>
      </c>
      <c r="H16">
        <v>50.939</v>
      </c>
      <c r="I16">
        <v>62.567999999999998</v>
      </c>
      <c r="K16">
        <v>40</v>
      </c>
      <c r="L16">
        <v>50.487000000000002</v>
      </c>
      <c r="M16">
        <v>45.917999999999999</v>
      </c>
      <c r="N16">
        <v>49.1678</v>
      </c>
      <c r="P16">
        <v>40</v>
      </c>
      <c r="Q16">
        <v>39.475000000000001</v>
      </c>
      <c r="R16">
        <v>34.627000000000002</v>
      </c>
      <c r="S16">
        <v>36.378999999999998</v>
      </c>
      <c r="U16">
        <v>40</v>
      </c>
      <c r="V16">
        <v>31.518699999999999</v>
      </c>
      <c r="W16">
        <v>26.442</v>
      </c>
      <c r="X16">
        <v>25.116</v>
      </c>
      <c r="Z16">
        <v>40</v>
      </c>
      <c r="AA16">
        <v>24.685700000000001</v>
      </c>
      <c r="AB16">
        <v>21.25</v>
      </c>
      <c r="AC16">
        <v>16.972999999999999</v>
      </c>
    </row>
    <row r="18" spans="1:29" x14ac:dyDescent="0.3">
      <c r="A18" t="s">
        <v>6</v>
      </c>
      <c r="B18" t="s">
        <v>5</v>
      </c>
      <c r="F18" t="s">
        <v>6</v>
      </c>
      <c r="G18" t="s">
        <v>5</v>
      </c>
      <c r="K18" t="s">
        <v>6</v>
      </c>
      <c r="L18" t="s">
        <v>5</v>
      </c>
      <c r="M18" t="s">
        <v>13</v>
      </c>
      <c r="P18" t="s">
        <v>6</v>
      </c>
      <c r="Q18" t="s">
        <v>5</v>
      </c>
      <c r="R18" t="s">
        <v>14</v>
      </c>
      <c r="U18" t="s">
        <v>6</v>
      </c>
      <c r="V18" t="s">
        <v>5</v>
      </c>
      <c r="W18" t="s">
        <v>15</v>
      </c>
      <c r="Z18" t="s">
        <v>6</v>
      </c>
      <c r="AA18" t="s">
        <v>5</v>
      </c>
      <c r="AB18" t="s">
        <v>16</v>
      </c>
    </row>
    <row r="19" spans="1:29" x14ac:dyDescent="0.3">
      <c r="A19" t="s">
        <v>1</v>
      </c>
      <c r="B19" t="s">
        <v>2</v>
      </c>
      <c r="C19" t="s">
        <v>3</v>
      </c>
      <c r="D19" t="s">
        <v>4</v>
      </c>
      <c r="F19" t="s">
        <v>1</v>
      </c>
      <c r="G19" t="s">
        <v>2</v>
      </c>
      <c r="H19" t="s">
        <v>3</v>
      </c>
      <c r="I19" t="s">
        <v>4</v>
      </c>
      <c r="K19" t="s">
        <v>1</v>
      </c>
      <c r="L19" t="s">
        <v>2</v>
      </c>
      <c r="M19" t="s">
        <v>3</v>
      </c>
      <c r="N19" t="s">
        <v>4</v>
      </c>
      <c r="P19" t="s">
        <v>1</v>
      </c>
      <c r="Q19" t="s">
        <v>2</v>
      </c>
      <c r="R19" t="s">
        <v>3</v>
      </c>
      <c r="S19" t="s">
        <v>4</v>
      </c>
      <c r="U19" t="s">
        <v>1</v>
      </c>
      <c r="V19" t="s">
        <v>2</v>
      </c>
      <c r="W19" t="s">
        <v>3</v>
      </c>
      <c r="X19" t="s">
        <v>4</v>
      </c>
      <c r="Z19" t="s">
        <v>1</v>
      </c>
      <c r="AA19" t="s">
        <v>2</v>
      </c>
      <c r="AB19" t="s">
        <v>3</v>
      </c>
      <c r="AC19" t="s">
        <v>4</v>
      </c>
    </row>
    <row r="20" spans="1:29" x14ac:dyDescent="0.3">
      <c r="A20">
        <v>0</v>
      </c>
      <c r="F20">
        <v>0</v>
      </c>
      <c r="G20">
        <v>4.8163999999999998</v>
      </c>
      <c r="H20">
        <v>0.92800000000000005</v>
      </c>
      <c r="K20">
        <v>0</v>
      </c>
      <c r="L20">
        <v>4.4709000000000003</v>
      </c>
      <c r="M20">
        <v>0.95</v>
      </c>
      <c r="P20">
        <v>0</v>
      </c>
      <c r="Q20">
        <v>3.9243999999999999</v>
      </c>
      <c r="R20">
        <v>0.71399999999999997</v>
      </c>
      <c r="U20">
        <v>0</v>
      </c>
      <c r="V20">
        <v>3.3256999999999999</v>
      </c>
      <c r="W20">
        <v>0.36099999999999999</v>
      </c>
      <c r="Z20">
        <v>0</v>
      </c>
      <c r="AA20">
        <v>2.7086999999999999</v>
      </c>
      <c r="AB20">
        <v>8.2000000000000003E-2</v>
      </c>
    </row>
    <row r="21" spans="1:29" x14ac:dyDescent="0.3">
      <c r="A21">
        <v>10</v>
      </c>
      <c r="F21">
        <v>10</v>
      </c>
      <c r="G21">
        <v>7.3981000000000003</v>
      </c>
      <c r="H21">
        <v>2.2789999999999999</v>
      </c>
      <c r="K21">
        <v>10</v>
      </c>
      <c r="L21">
        <v>6.7789000000000001</v>
      </c>
      <c r="M21">
        <v>2.278</v>
      </c>
      <c r="P21">
        <v>10</v>
      </c>
      <c r="Q21">
        <v>6.0297999999999998</v>
      </c>
      <c r="R21">
        <v>2.0070000000000001</v>
      </c>
      <c r="U21">
        <v>10</v>
      </c>
      <c r="V21">
        <v>5.2751000000000001</v>
      </c>
      <c r="W21">
        <v>1.331</v>
      </c>
      <c r="Z21">
        <v>10</v>
      </c>
      <c r="AA21">
        <v>4.3079999999999998</v>
      </c>
      <c r="AB21">
        <v>0.86899999999999999</v>
      </c>
    </row>
    <row r="22" spans="1:29" x14ac:dyDescent="0.3">
      <c r="A22">
        <v>20</v>
      </c>
      <c r="F22">
        <v>20</v>
      </c>
      <c r="G22">
        <v>12.007300000000001</v>
      </c>
      <c r="H22">
        <v>5.4169999999999998</v>
      </c>
      <c r="I22">
        <v>1.2384999999999999</v>
      </c>
      <c r="K22">
        <v>20</v>
      </c>
      <c r="L22">
        <v>10.8874</v>
      </c>
      <c r="M22">
        <v>4.8920000000000003</v>
      </c>
      <c r="N22">
        <v>1.982</v>
      </c>
      <c r="P22">
        <v>20</v>
      </c>
      <c r="Q22">
        <v>9.5022000000000002</v>
      </c>
      <c r="R22">
        <v>4.1529999999999996</v>
      </c>
      <c r="U22">
        <v>20</v>
      </c>
      <c r="V22">
        <v>8.1387999999999998</v>
      </c>
      <c r="W22">
        <v>3.6040000000000001</v>
      </c>
      <c r="Z22">
        <v>20</v>
      </c>
      <c r="AA22">
        <v>6.8571999999999997</v>
      </c>
      <c r="AB22">
        <v>2.863</v>
      </c>
    </row>
    <row r="23" spans="1:29" x14ac:dyDescent="0.3">
      <c r="A23">
        <v>30</v>
      </c>
      <c r="F23">
        <v>30</v>
      </c>
      <c r="G23">
        <v>21.437100000000001</v>
      </c>
      <c r="H23">
        <v>13.185</v>
      </c>
      <c r="I23">
        <v>10.8147</v>
      </c>
      <c r="K23">
        <v>30</v>
      </c>
      <c r="L23">
        <v>19.0976</v>
      </c>
      <c r="M23">
        <v>12.311</v>
      </c>
      <c r="N23">
        <v>9.0648</v>
      </c>
      <c r="P23">
        <v>30</v>
      </c>
      <c r="Q23">
        <v>16.2559</v>
      </c>
      <c r="R23">
        <v>10.039999999999999</v>
      </c>
      <c r="S23">
        <v>7.0250000000000004</v>
      </c>
      <c r="U23">
        <v>30</v>
      </c>
      <c r="V23">
        <v>13.5518</v>
      </c>
      <c r="W23">
        <v>8.7569999999999997</v>
      </c>
      <c r="X23">
        <v>5.1920000000000002</v>
      </c>
      <c r="Z23">
        <v>30</v>
      </c>
      <c r="AA23">
        <v>11.141400000000001</v>
      </c>
      <c r="AB23">
        <v>6.835</v>
      </c>
      <c r="AC23">
        <v>1.542</v>
      </c>
    </row>
    <row r="24" spans="1:29" x14ac:dyDescent="0.3">
      <c r="A24">
        <v>40</v>
      </c>
      <c r="F24">
        <v>40</v>
      </c>
      <c r="G24">
        <v>44.321599999999997</v>
      </c>
      <c r="H24">
        <v>37.880000000000003</v>
      </c>
      <c r="I24">
        <v>47.261299999999999</v>
      </c>
      <c r="K24">
        <v>40</v>
      </c>
      <c r="L24">
        <v>38.901000000000003</v>
      </c>
      <c r="M24">
        <v>32.924999999999997</v>
      </c>
      <c r="N24">
        <v>38.628</v>
      </c>
      <c r="P24">
        <v>40</v>
      </c>
      <c r="Q24">
        <v>31.865400000000001</v>
      </c>
      <c r="R24">
        <v>27.419</v>
      </c>
      <c r="S24">
        <v>25.956299999999999</v>
      </c>
      <c r="U24">
        <v>40</v>
      </c>
      <c r="V24">
        <v>25.762599999999999</v>
      </c>
      <c r="W24">
        <v>20.603999999999999</v>
      </c>
      <c r="X24">
        <v>20.922000000000001</v>
      </c>
      <c r="Z24">
        <v>40</v>
      </c>
      <c r="AA24">
        <v>20.3873</v>
      </c>
      <c r="AB24">
        <v>16.937000000000001</v>
      </c>
      <c r="AC24">
        <v>14.484</v>
      </c>
    </row>
    <row r="26" spans="1:29" x14ac:dyDescent="0.3">
      <c r="A26" t="s">
        <v>8</v>
      </c>
      <c r="B26" t="s">
        <v>5</v>
      </c>
      <c r="F26" t="s">
        <v>8</v>
      </c>
      <c r="G26" t="s">
        <v>5</v>
      </c>
      <c r="K26" t="s">
        <v>8</v>
      </c>
      <c r="L26" t="s">
        <v>5</v>
      </c>
      <c r="M26" t="s">
        <v>13</v>
      </c>
      <c r="P26" t="s">
        <v>8</v>
      </c>
      <c r="Q26" t="s">
        <v>5</v>
      </c>
      <c r="R26" t="s">
        <v>14</v>
      </c>
      <c r="U26" t="s">
        <v>8</v>
      </c>
      <c r="V26" t="s">
        <v>5</v>
      </c>
      <c r="W26" t="s">
        <v>15</v>
      </c>
      <c r="Z26" t="s">
        <v>8</v>
      </c>
      <c r="AA26" t="s">
        <v>5</v>
      </c>
      <c r="AB26" t="s">
        <v>16</v>
      </c>
    </row>
    <row r="27" spans="1:29" x14ac:dyDescent="0.3">
      <c r="A27" t="s">
        <v>1</v>
      </c>
      <c r="B27" t="s">
        <v>2</v>
      </c>
      <c r="C27" t="s">
        <v>3</v>
      </c>
      <c r="D27" t="s">
        <v>4</v>
      </c>
      <c r="F27" t="s">
        <v>1</v>
      </c>
      <c r="G27" t="s">
        <v>2</v>
      </c>
      <c r="H27" t="s">
        <v>3</v>
      </c>
      <c r="I27" t="s">
        <v>4</v>
      </c>
      <c r="K27" t="s">
        <v>1</v>
      </c>
      <c r="L27" t="s">
        <v>2</v>
      </c>
      <c r="M27" t="s">
        <v>3</v>
      </c>
      <c r="N27" t="s">
        <v>4</v>
      </c>
      <c r="P27" t="s">
        <v>1</v>
      </c>
      <c r="Q27" t="s">
        <v>2</v>
      </c>
      <c r="R27" t="s">
        <v>3</v>
      </c>
      <c r="S27" t="s">
        <v>4</v>
      </c>
      <c r="U27" t="s">
        <v>1</v>
      </c>
      <c r="V27" t="s">
        <v>2</v>
      </c>
      <c r="W27" t="s">
        <v>3</v>
      </c>
      <c r="X27" t="s">
        <v>4</v>
      </c>
      <c r="Z27" t="s">
        <v>1</v>
      </c>
      <c r="AA27" t="s">
        <v>2</v>
      </c>
      <c r="AB27" t="s">
        <v>3</v>
      </c>
      <c r="AC27" t="s">
        <v>4</v>
      </c>
    </row>
    <row r="28" spans="1:29" x14ac:dyDescent="0.3">
      <c r="A28">
        <v>0</v>
      </c>
      <c r="F28">
        <v>0</v>
      </c>
      <c r="G28">
        <v>4.6787000000000001</v>
      </c>
      <c r="H28">
        <v>1</v>
      </c>
      <c r="K28">
        <v>0</v>
      </c>
      <c r="L28">
        <v>4.3785999999999996</v>
      </c>
      <c r="M28">
        <v>0.93300000000000005</v>
      </c>
      <c r="P28">
        <v>0</v>
      </c>
      <c r="Q28">
        <v>3.9281000000000001</v>
      </c>
      <c r="R28">
        <v>0.69699999999999995</v>
      </c>
      <c r="U28">
        <v>0</v>
      </c>
      <c r="V28">
        <v>3.319</v>
      </c>
      <c r="W28">
        <v>0.44400000000000001</v>
      </c>
      <c r="Z28">
        <v>0</v>
      </c>
      <c r="AA28">
        <v>2.7075</v>
      </c>
      <c r="AB28">
        <v>0.14199999999999999</v>
      </c>
    </row>
    <row r="29" spans="1:29" x14ac:dyDescent="0.3">
      <c r="A29">
        <v>10</v>
      </c>
      <c r="F29">
        <v>10</v>
      </c>
      <c r="G29">
        <v>6.9565000000000001</v>
      </c>
      <c r="H29">
        <v>2.266</v>
      </c>
      <c r="K29">
        <v>10</v>
      </c>
      <c r="L29">
        <v>6.4606000000000003</v>
      </c>
      <c r="M29">
        <v>2.0499999999999998</v>
      </c>
      <c r="P29">
        <v>10</v>
      </c>
      <c r="Q29">
        <v>5.7976999999999999</v>
      </c>
      <c r="R29">
        <v>1.81</v>
      </c>
      <c r="U29">
        <v>10</v>
      </c>
      <c r="V29">
        <v>5.1116999999999999</v>
      </c>
      <c r="W29">
        <v>1.48</v>
      </c>
      <c r="Z29">
        <v>10</v>
      </c>
      <c r="AA29">
        <v>4.2998000000000003</v>
      </c>
      <c r="AB29">
        <v>0.90300000000000002</v>
      </c>
    </row>
    <row r="30" spans="1:29" x14ac:dyDescent="0.3">
      <c r="A30">
        <v>20</v>
      </c>
      <c r="F30">
        <v>20</v>
      </c>
      <c r="G30">
        <v>10.826599999999999</v>
      </c>
      <c r="H30">
        <v>5.0540000000000003</v>
      </c>
      <c r="K30">
        <v>20</v>
      </c>
      <c r="L30">
        <v>9.9557000000000002</v>
      </c>
      <c r="M30">
        <v>4.5289999999999999</v>
      </c>
      <c r="P30">
        <v>20</v>
      </c>
      <c r="Q30">
        <v>8.7621000000000002</v>
      </c>
      <c r="R30">
        <v>4.0170000000000003</v>
      </c>
      <c r="U30">
        <v>20</v>
      </c>
      <c r="V30">
        <v>7.5867000000000004</v>
      </c>
      <c r="W30">
        <v>3.2690000000000001</v>
      </c>
      <c r="Z30">
        <v>20</v>
      </c>
      <c r="AA30">
        <v>6.4786000000000001</v>
      </c>
      <c r="AB30">
        <v>2.8210000000000002</v>
      </c>
    </row>
    <row r="31" spans="1:29" x14ac:dyDescent="0.3">
      <c r="A31">
        <v>30</v>
      </c>
      <c r="F31">
        <v>30</v>
      </c>
      <c r="G31">
        <v>18.1568</v>
      </c>
      <c r="H31">
        <v>11.85</v>
      </c>
      <c r="K31">
        <v>30</v>
      </c>
      <c r="L31">
        <v>16.572500000000002</v>
      </c>
      <c r="M31">
        <v>10.183999999999999</v>
      </c>
      <c r="P31">
        <v>30</v>
      </c>
      <c r="Q31">
        <v>14.168699999999999</v>
      </c>
      <c r="R31">
        <v>8.9969999999999999</v>
      </c>
      <c r="U31">
        <v>30</v>
      </c>
      <c r="V31">
        <v>11.9672</v>
      </c>
      <c r="W31">
        <v>7.39</v>
      </c>
      <c r="Z31">
        <v>30</v>
      </c>
      <c r="AA31">
        <v>9.9463000000000008</v>
      </c>
      <c r="AB31">
        <v>6.0830000000000002</v>
      </c>
    </row>
    <row r="32" spans="1:29" x14ac:dyDescent="0.3">
      <c r="A32">
        <v>40</v>
      </c>
      <c r="F32">
        <v>40</v>
      </c>
      <c r="G32">
        <v>34.636400000000002</v>
      </c>
      <c r="H32">
        <v>31.382000000000001</v>
      </c>
      <c r="I32">
        <v>31.189</v>
      </c>
      <c r="K32">
        <v>40</v>
      </c>
      <c r="L32">
        <v>31.172699999999999</v>
      </c>
      <c r="M32">
        <v>26.472999999999999</v>
      </c>
      <c r="N32">
        <v>27.969000000000001</v>
      </c>
      <c r="P32">
        <v>40</v>
      </c>
      <c r="Q32">
        <v>25.6401</v>
      </c>
      <c r="R32">
        <v>23.152000000000001</v>
      </c>
      <c r="S32">
        <v>21.283999999999999</v>
      </c>
      <c r="U32">
        <v>40</v>
      </c>
      <c r="V32">
        <v>20.924099999999999</v>
      </c>
      <c r="W32">
        <v>17.294</v>
      </c>
      <c r="X32">
        <v>15.731999999999999</v>
      </c>
      <c r="Z32">
        <v>40</v>
      </c>
      <c r="AA32">
        <v>16.852</v>
      </c>
      <c r="AB32">
        <v>13.989000000000001</v>
      </c>
      <c r="AC32">
        <v>11.382</v>
      </c>
    </row>
    <row r="34" spans="1:29" x14ac:dyDescent="0.3">
      <c r="A34" t="s">
        <v>9</v>
      </c>
      <c r="B34" t="s">
        <v>5</v>
      </c>
      <c r="F34" t="s">
        <v>9</v>
      </c>
      <c r="G34" t="s">
        <v>5</v>
      </c>
      <c r="K34" t="s">
        <v>9</v>
      </c>
      <c r="L34" t="s">
        <v>5</v>
      </c>
      <c r="M34" t="s">
        <v>13</v>
      </c>
      <c r="P34" t="s">
        <v>9</v>
      </c>
      <c r="Q34" t="s">
        <v>5</v>
      </c>
      <c r="R34" t="s">
        <v>14</v>
      </c>
      <c r="U34" t="s">
        <v>9</v>
      </c>
      <c r="V34" t="s">
        <v>5</v>
      </c>
      <c r="W34" t="s">
        <v>15</v>
      </c>
      <c r="Z34" t="s">
        <v>9</v>
      </c>
      <c r="AA34" t="s">
        <v>5</v>
      </c>
      <c r="AB34" t="s">
        <v>16</v>
      </c>
    </row>
    <row r="35" spans="1:29" x14ac:dyDescent="0.3">
      <c r="A35" t="s">
        <v>1</v>
      </c>
      <c r="B35" t="s">
        <v>2</v>
      </c>
      <c r="C35" t="s">
        <v>3</v>
      </c>
      <c r="D35" t="s">
        <v>4</v>
      </c>
      <c r="F35" t="s">
        <v>1</v>
      </c>
      <c r="G35" t="s">
        <v>2</v>
      </c>
      <c r="H35" t="s">
        <v>3</v>
      </c>
      <c r="I35" t="s">
        <v>4</v>
      </c>
      <c r="K35" t="s">
        <v>1</v>
      </c>
      <c r="L35" t="s">
        <v>2</v>
      </c>
      <c r="M35" t="s">
        <v>3</v>
      </c>
      <c r="N35" t="s">
        <v>4</v>
      </c>
      <c r="P35" t="s">
        <v>1</v>
      </c>
      <c r="Q35" t="s">
        <v>2</v>
      </c>
      <c r="R35" t="s">
        <v>3</v>
      </c>
      <c r="S35" t="s">
        <v>4</v>
      </c>
      <c r="U35" t="s">
        <v>1</v>
      </c>
      <c r="V35" t="s">
        <v>2</v>
      </c>
      <c r="W35" t="s">
        <v>3</v>
      </c>
      <c r="X35" t="s">
        <v>4</v>
      </c>
      <c r="Z35" t="s">
        <v>1</v>
      </c>
      <c r="AA35" t="s">
        <v>2</v>
      </c>
      <c r="AB35" t="s">
        <v>3</v>
      </c>
      <c r="AC35" t="s">
        <v>4</v>
      </c>
    </row>
    <row r="36" spans="1:29" x14ac:dyDescent="0.3">
      <c r="A36">
        <v>0</v>
      </c>
      <c r="F36">
        <v>0</v>
      </c>
      <c r="G36">
        <v>4.5007000000000001</v>
      </c>
      <c r="H36">
        <v>1.0029999999999999</v>
      </c>
      <c r="K36">
        <v>0</v>
      </c>
      <c r="L36">
        <v>4.2499000000000002</v>
      </c>
      <c r="M36">
        <v>0.98299999999999998</v>
      </c>
      <c r="P36">
        <v>0</v>
      </c>
      <c r="Q36">
        <v>3.8971</v>
      </c>
      <c r="R36">
        <v>0.73899999999999999</v>
      </c>
      <c r="U36">
        <v>0</v>
      </c>
      <c r="V36">
        <v>3.3169</v>
      </c>
      <c r="W36">
        <v>0.433</v>
      </c>
      <c r="Z36">
        <v>0</v>
      </c>
      <c r="AA36">
        <v>2.702</v>
      </c>
      <c r="AB36">
        <v>0.12</v>
      </c>
    </row>
    <row r="37" spans="1:29" x14ac:dyDescent="0.3">
      <c r="A37">
        <v>10</v>
      </c>
      <c r="F37">
        <v>10</v>
      </c>
      <c r="G37">
        <v>6.4989999999999997</v>
      </c>
      <c r="H37">
        <v>2.2690000000000001</v>
      </c>
      <c r="K37">
        <v>10</v>
      </c>
      <c r="L37">
        <v>6.0918000000000001</v>
      </c>
      <c r="M37">
        <v>2.0529999999999999</v>
      </c>
      <c r="P37">
        <v>10</v>
      </c>
      <c r="Q37">
        <v>5.5076999999999998</v>
      </c>
      <c r="R37">
        <v>1.806</v>
      </c>
      <c r="U37">
        <v>10</v>
      </c>
      <c r="V37">
        <v>4.8925000000000001</v>
      </c>
      <c r="W37">
        <v>1.552</v>
      </c>
      <c r="Z37">
        <v>10</v>
      </c>
      <c r="AA37">
        <v>4.2805</v>
      </c>
      <c r="AB37">
        <v>0.98899999999999999</v>
      </c>
    </row>
    <row r="38" spans="1:29" x14ac:dyDescent="0.3">
      <c r="A38">
        <v>20</v>
      </c>
      <c r="F38">
        <v>20</v>
      </c>
      <c r="G38">
        <v>9.7179000000000002</v>
      </c>
      <c r="H38">
        <v>4.5579999999999998</v>
      </c>
      <c r="K38">
        <v>20</v>
      </c>
      <c r="L38">
        <v>9.0261999999999993</v>
      </c>
      <c r="M38">
        <v>4.1639999999999997</v>
      </c>
      <c r="P38">
        <v>20</v>
      </c>
      <c r="Q38">
        <v>8.0190999999999999</v>
      </c>
      <c r="R38">
        <v>3.6539999999999999</v>
      </c>
      <c r="U38">
        <v>20</v>
      </c>
      <c r="V38">
        <v>6.9911000000000003</v>
      </c>
      <c r="W38">
        <v>3.2290000000000001</v>
      </c>
      <c r="Z38">
        <v>20</v>
      </c>
      <c r="AA38">
        <v>6.0290999999999997</v>
      </c>
      <c r="AB38">
        <v>2.649</v>
      </c>
    </row>
    <row r="39" spans="1:29" x14ac:dyDescent="0.3">
      <c r="A39">
        <v>30</v>
      </c>
      <c r="F39">
        <v>30</v>
      </c>
      <c r="G39">
        <v>15.4171</v>
      </c>
      <c r="H39">
        <v>9.7360000000000007</v>
      </c>
      <c r="K39">
        <v>30</v>
      </c>
      <c r="L39">
        <v>14.2094</v>
      </c>
      <c r="M39">
        <v>9.1199999999999992</v>
      </c>
      <c r="P39">
        <v>30</v>
      </c>
      <c r="Q39">
        <v>12.2667</v>
      </c>
      <c r="R39">
        <v>7.8250000000000002</v>
      </c>
      <c r="U39">
        <v>30</v>
      </c>
      <c r="V39">
        <v>10.434200000000001</v>
      </c>
      <c r="W39">
        <v>6.5419999999999998</v>
      </c>
      <c r="Z39">
        <v>30</v>
      </c>
      <c r="AA39">
        <v>8.7866</v>
      </c>
      <c r="AB39">
        <v>5.585</v>
      </c>
    </row>
    <row r="40" spans="1:29" x14ac:dyDescent="0.3">
      <c r="A40">
        <v>40</v>
      </c>
      <c r="F40">
        <v>40</v>
      </c>
      <c r="G40">
        <v>27.107800000000001</v>
      </c>
      <c r="H40">
        <v>24.103000000000002</v>
      </c>
      <c r="K40">
        <v>40</v>
      </c>
      <c r="L40">
        <v>24.716999999999999</v>
      </c>
      <c r="M40">
        <v>21.388999999999999</v>
      </c>
      <c r="P40">
        <v>40</v>
      </c>
      <c r="Q40">
        <v>20.630500000000001</v>
      </c>
      <c r="R40">
        <v>18.521000000000001</v>
      </c>
      <c r="U40">
        <v>40</v>
      </c>
      <c r="V40">
        <v>16.961600000000001</v>
      </c>
      <c r="W40">
        <v>14.43</v>
      </c>
      <c r="Z40">
        <v>40</v>
      </c>
      <c r="AA40">
        <v>13.818899999999999</v>
      </c>
      <c r="AB40">
        <v>11.228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6C7E-600A-407E-81FC-331D11D90AE9}">
  <dimension ref="A1:AC40"/>
  <sheetViews>
    <sheetView topLeftCell="L23" workbookViewId="0">
      <selection activeCell="X38" sqref="X38"/>
    </sheetView>
  </sheetViews>
  <sheetFormatPr defaultRowHeight="14.4" x14ac:dyDescent="0.3"/>
  <cols>
    <col min="1" max="1" width="13.88671875" customWidth="1"/>
    <col min="6" max="6" width="14.5546875" customWidth="1"/>
    <col min="11" max="11" width="16.33203125" customWidth="1"/>
    <col min="13" max="13" width="10.109375" customWidth="1"/>
    <col min="16" max="16" width="14.109375" bestFit="1" customWidth="1"/>
    <col min="18" max="18" width="11.33203125" customWidth="1"/>
    <col min="21" max="21" width="14" customWidth="1"/>
    <col min="22" max="22" width="10.109375" customWidth="1"/>
    <col min="23" max="23" width="11.44140625" customWidth="1"/>
    <col min="24" max="24" width="9.88671875" customWidth="1"/>
    <col min="26" max="26" width="14" customWidth="1"/>
    <col min="27" max="27" width="10.109375" customWidth="1"/>
    <col min="28" max="28" width="11.44140625" customWidth="1"/>
    <col min="29" max="29" width="9.88671875" customWidth="1"/>
  </cols>
  <sheetData>
    <row r="1" spans="1:29" x14ac:dyDescent="0.3">
      <c r="A1" t="s">
        <v>10</v>
      </c>
      <c r="F1" t="s">
        <v>11</v>
      </c>
      <c r="K1" t="s">
        <v>11</v>
      </c>
      <c r="P1" t="s">
        <v>11</v>
      </c>
      <c r="U1" t="s">
        <v>11</v>
      </c>
      <c r="Z1" t="s">
        <v>11</v>
      </c>
    </row>
    <row r="2" spans="1:29" x14ac:dyDescent="0.3">
      <c r="A2" t="s">
        <v>0</v>
      </c>
      <c r="B2" t="s">
        <v>5</v>
      </c>
      <c r="F2" t="s">
        <v>0</v>
      </c>
      <c r="G2" t="s">
        <v>5</v>
      </c>
      <c r="K2" t="s">
        <v>0</v>
      </c>
      <c r="L2" t="s">
        <v>5</v>
      </c>
      <c r="M2" t="s">
        <v>13</v>
      </c>
      <c r="P2" t="s">
        <v>0</v>
      </c>
      <c r="Q2" t="s">
        <v>5</v>
      </c>
      <c r="R2" t="s">
        <v>14</v>
      </c>
      <c r="U2" t="s">
        <v>0</v>
      </c>
      <c r="V2" t="s">
        <v>5</v>
      </c>
      <c r="W2" t="s">
        <v>15</v>
      </c>
      <c r="Z2" t="s">
        <v>0</v>
      </c>
      <c r="AA2" t="s">
        <v>5</v>
      </c>
      <c r="AB2" t="s">
        <v>16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I3" t="s">
        <v>4</v>
      </c>
      <c r="K3" t="s">
        <v>1</v>
      </c>
      <c r="L3" t="s">
        <v>2</v>
      </c>
      <c r="M3" t="s">
        <v>3</v>
      </c>
      <c r="N3" t="s">
        <v>4</v>
      </c>
      <c r="P3" t="s">
        <v>1</v>
      </c>
      <c r="Q3" t="s">
        <v>2</v>
      </c>
      <c r="R3" t="s">
        <v>3</v>
      </c>
      <c r="S3" t="s">
        <v>4</v>
      </c>
      <c r="U3" t="s">
        <v>1</v>
      </c>
      <c r="V3" t="s">
        <v>2</v>
      </c>
      <c r="W3" t="s">
        <v>3</v>
      </c>
      <c r="X3" t="s">
        <v>4</v>
      </c>
      <c r="Z3" t="s">
        <v>1</v>
      </c>
      <c r="AA3" t="s">
        <v>2</v>
      </c>
      <c r="AB3" t="s">
        <v>3</v>
      </c>
      <c r="AC3" t="s">
        <v>4</v>
      </c>
    </row>
    <row r="4" spans="1:29" x14ac:dyDescent="0.3">
      <c r="A4">
        <v>0</v>
      </c>
      <c r="F4">
        <v>0</v>
      </c>
      <c r="K4">
        <v>0</v>
      </c>
      <c r="P4">
        <v>0</v>
      </c>
      <c r="U4">
        <v>0</v>
      </c>
      <c r="Z4">
        <v>0</v>
      </c>
    </row>
    <row r="5" spans="1:29" x14ac:dyDescent="0.3">
      <c r="A5">
        <v>10</v>
      </c>
      <c r="F5">
        <v>10</v>
      </c>
      <c r="K5">
        <v>10</v>
      </c>
      <c r="P5">
        <v>10</v>
      </c>
      <c r="U5">
        <v>10</v>
      </c>
      <c r="Z5">
        <v>10</v>
      </c>
    </row>
    <row r="6" spans="1:29" x14ac:dyDescent="0.3">
      <c r="A6">
        <v>20</v>
      </c>
      <c r="F6">
        <v>20</v>
      </c>
      <c r="K6">
        <v>20</v>
      </c>
      <c r="P6">
        <v>20</v>
      </c>
      <c r="U6">
        <v>20</v>
      </c>
      <c r="Z6">
        <v>20</v>
      </c>
    </row>
    <row r="7" spans="1:29" x14ac:dyDescent="0.3">
      <c r="A7">
        <v>30</v>
      </c>
      <c r="F7">
        <v>30</v>
      </c>
      <c r="K7">
        <v>30</v>
      </c>
      <c r="P7">
        <v>30</v>
      </c>
      <c r="U7">
        <v>30</v>
      </c>
      <c r="Z7">
        <v>30</v>
      </c>
    </row>
    <row r="8" spans="1:29" x14ac:dyDescent="0.3">
      <c r="A8">
        <v>40</v>
      </c>
      <c r="F8">
        <v>40</v>
      </c>
      <c r="K8">
        <v>40</v>
      </c>
      <c r="P8">
        <v>40</v>
      </c>
      <c r="U8">
        <v>40</v>
      </c>
      <c r="Z8">
        <v>40</v>
      </c>
    </row>
    <row r="10" spans="1:29" x14ac:dyDescent="0.3">
      <c r="A10" t="s">
        <v>7</v>
      </c>
      <c r="B10" t="s">
        <v>5</v>
      </c>
      <c r="F10" t="s">
        <v>7</v>
      </c>
      <c r="G10" t="s">
        <v>5</v>
      </c>
      <c r="K10" t="s">
        <v>7</v>
      </c>
      <c r="L10" t="s">
        <v>5</v>
      </c>
      <c r="M10" t="s">
        <v>13</v>
      </c>
      <c r="P10" t="s">
        <v>7</v>
      </c>
      <c r="Q10" t="s">
        <v>5</v>
      </c>
      <c r="R10" t="s">
        <v>14</v>
      </c>
      <c r="U10" t="s">
        <v>7</v>
      </c>
      <c r="V10" t="s">
        <v>5</v>
      </c>
      <c r="W10" t="s">
        <v>15</v>
      </c>
      <c r="Z10" t="s">
        <v>7</v>
      </c>
      <c r="AA10" t="s">
        <v>5</v>
      </c>
      <c r="AB10" t="s">
        <v>16</v>
      </c>
    </row>
    <row r="11" spans="1:29" x14ac:dyDescent="0.3">
      <c r="A11" t="s">
        <v>1</v>
      </c>
      <c r="B11" t="s">
        <v>2</v>
      </c>
      <c r="C11" t="s">
        <v>3</v>
      </c>
      <c r="D11" t="s">
        <v>4</v>
      </c>
      <c r="F11" t="s">
        <v>1</v>
      </c>
      <c r="G11" t="s">
        <v>2</v>
      </c>
      <c r="H11" t="s">
        <v>3</v>
      </c>
      <c r="I11" t="s">
        <v>4</v>
      </c>
      <c r="K11" t="s">
        <v>1</v>
      </c>
      <c r="L11" t="s">
        <v>2</v>
      </c>
      <c r="M11" t="s">
        <v>3</v>
      </c>
      <c r="N11" t="s">
        <v>4</v>
      </c>
      <c r="P11" t="s">
        <v>1</v>
      </c>
      <c r="Q11" t="s">
        <v>2</v>
      </c>
      <c r="R11" t="s">
        <v>3</v>
      </c>
      <c r="S11" t="s">
        <v>4</v>
      </c>
      <c r="U11" t="s">
        <v>1</v>
      </c>
      <c r="V11" t="s">
        <v>2</v>
      </c>
      <c r="W11" t="s">
        <v>3</v>
      </c>
      <c r="X11" t="s">
        <v>4</v>
      </c>
      <c r="Z11" t="s">
        <v>1</v>
      </c>
      <c r="AA11" t="s">
        <v>2</v>
      </c>
      <c r="AB11" t="s">
        <v>3</v>
      </c>
      <c r="AC11" t="s">
        <v>4</v>
      </c>
    </row>
    <row r="12" spans="1:29" x14ac:dyDescent="0.3">
      <c r="A12">
        <v>0</v>
      </c>
      <c r="F12">
        <v>0</v>
      </c>
      <c r="G12">
        <v>4.9584000000000001</v>
      </c>
      <c r="H12">
        <v>0.998</v>
      </c>
      <c r="I12">
        <v>0</v>
      </c>
      <c r="K12">
        <v>0</v>
      </c>
      <c r="L12">
        <v>4.4917999999999996</v>
      </c>
      <c r="M12">
        <v>0.75900000000000001</v>
      </c>
      <c r="P12">
        <v>0</v>
      </c>
      <c r="Q12">
        <v>3.9199000000000002</v>
      </c>
      <c r="R12">
        <v>0.73299999999999998</v>
      </c>
      <c r="U12">
        <v>0</v>
      </c>
      <c r="V12">
        <v>3.3229000000000002</v>
      </c>
      <c r="W12">
        <v>0.44400000000000001</v>
      </c>
      <c r="Z12">
        <v>0</v>
      </c>
      <c r="AA12">
        <v>2.7111999999999998</v>
      </c>
      <c r="AB12">
        <v>0.11799999999999999</v>
      </c>
    </row>
    <row r="13" spans="1:29" x14ac:dyDescent="0.3">
      <c r="A13">
        <v>10</v>
      </c>
      <c r="F13">
        <v>10</v>
      </c>
      <c r="G13">
        <v>8.1288</v>
      </c>
      <c r="H13">
        <v>2.4119999999999999</v>
      </c>
      <c r="I13">
        <v>1.103</v>
      </c>
      <c r="K13">
        <v>10</v>
      </c>
      <c r="L13">
        <v>7.2352999999999996</v>
      </c>
      <c r="M13">
        <v>2.3010000000000002</v>
      </c>
      <c r="P13">
        <v>10</v>
      </c>
      <c r="Q13">
        <v>6.282</v>
      </c>
      <c r="R13">
        <v>1.9279999999999999</v>
      </c>
      <c r="U13">
        <v>10</v>
      </c>
      <c r="V13">
        <v>5.2849000000000004</v>
      </c>
      <c r="W13">
        <v>1.514</v>
      </c>
      <c r="Z13">
        <v>10</v>
      </c>
      <c r="AA13">
        <v>4.3018000000000001</v>
      </c>
      <c r="AB13">
        <v>0.95099999999999996</v>
      </c>
    </row>
    <row r="14" spans="1:29" x14ac:dyDescent="0.3">
      <c r="A14">
        <v>20</v>
      </c>
      <c r="F14">
        <v>20</v>
      </c>
      <c r="G14">
        <v>13.925000000000001</v>
      </c>
      <c r="H14">
        <v>6.11</v>
      </c>
      <c r="I14">
        <v>1.415</v>
      </c>
      <c r="K14">
        <v>20</v>
      </c>
      <c r="L14">
        <v>12.466699999999999</v>
      </c>
      <c r="M14">
        <v>5.2350000000000003</v>
      </c>
      <c r="P14">
        <v>20</v>
      </c>
      <c r="Q14">
        <v>10.8401</v>
      </c>
      <c r="R14">
        <v>4.59</v>
      </c>
      <c r="U14">
        <v>20</v>
      </c>
      <c r="V14">
        <v>9.0412999999999997</v>
      </c>
      <c r="W14">
        <v>3.7330000000000001</v>
      </c>
      <c r="Z14">
        <v>20</v>
      </c>
      <c r="AA14">
        <v>7.2920999999999996</v>
      </c>
      <c r="AB14">
        <v>2.6789999999999998</v>
      </c>
    </row>
    <row r="15" spans="1:29" x14ac:dyDescent="0.3">
      <c r="A15">
        <v>30</v>
      </c>
      <c r="F15">
        <v>30</v>
      </c>
      <c r="G15">
        <v>26.293099999999999</v>
      </c>
      <c r="H15">
        <v>16.27</v>
      </c>
      <c r="I15">
        <v>13.222</v>
      </c>
      <c r="K15">
        <v>30</v>
      </c>
      <c r="L15">
        <v>23.050799999999999</v>
      </c>
      <c r="M15">
        <v>14.507</v>
      </c>
      <c r="N15">
        <v>10.4847</v>
      </c>
      <c r="P15">
        <v>30</v>
      </c>
      <c r="Q15">
        <v>19.5884</v>
      </c>
      <c r="R15">
        <v>11.878</v>
      </c>
      <c r="S15">
        <v>7.7779999999999996</v>
      </c>
      <c r="U15">
        <v>30</v>
      </c>
      <c r="V15">
        <v>16.250800000000002</v>
      </c>
      <c r="W15">
        <v>9.9320000000000004</v>
      </c>
      <c r="Z15">
        <v>30</v>
      </c>
      <c r="AA15">
        <v>13.276400000000001</v>
      </c>
      <c r="AB15">
        <v>8.5229999999999997</v>
      </c>
    </row>
    <row r="16" spans="1:29" x14ac:dyDescent="0.3">
      <c r="A16">
        <v>40</v>
      </c>
      <c r="F16">
        <v>40</v>
      </c>
      <c r="G16">
        <v>58.953800000000001</v>
      </c>
      <c r="H16">
        <v>51.99</v>
      </c>
      <c r="I16">
        <v>68.328000000000003</v>
      </c>
      <c r="K16">
        <v>40</v>
      </c>
      <c r="L16">
        <v>50.504600000000003</v>
      </c>
      <c r="M16">
        <v>42.53</v>
      </c>
      <c r="N16">
        <v>55.015999999999998</v>
      </c>
      <c r="P16">
        <v>40</v>
      </c>
      <c r="Q16">
        <v>41.198599999999999</v>
      </c>
      <c r="R16">
        <v>36.841999999999999</v>
      </c>
      <c r="S16">
        <v>40.784999999999997</v>
      </c>
      <c r="U16">
        <v>40</v>
      </c>
      <c r="V16">
        <v>33.188699999999997</v>
      </c>
      <c r="W16">
        <v>28.06</v>
      </c>
      <c r="X16">
        <v>28.475000000000001</v>
      </c>
      <c r="Z16">
        <v>40</v>
      </c>
      <c r="AA16">
        <v>26.168800000000001</v>
      </c>
      <c r="AB16">
        <v>22.248999999999999</v>
      </c>
      <c r="AC16">
        <v>18.507000000000001</v>
      </c>
    </row>
    <row r="18" spans="1:29" x14ac:dyDescent="0.3">
      <c r="A18" t="s">
        <v>6</v>
      </c>
      <c r="B18" t="s">
        <v>5</v>
      </c>
      <c r="F18" t="s">
        <v>6</v>
      </c>
      <c r="G18" t="s">
        <v>5</v>
      </c>
      <c r="K18" t="s">
        <v>6</v>
      </c>
      <c r="L18" t="s">
        <v>5</v>
      </c>
      <c r="M18" t="s">
        <v>13</v>
      </c>
      <c r="P18" t="s">
        <v>6</v>
      </c>
      <c r="Q18" t="s">
        <v>5</v>
      </c>
      <c r="R18" t="s">
        <v>14</v>
      </c>
      <c r="U18" t="s">
        <v>6</v>
      </c>
      <c r="V18" t="s">
        <v>5</v>
      </c>
      <c r="W18" t="s">
        <v>15</v>
      </c>
      <c r="Z18" t="s">
        <v>6</v>
      </c>
      <c r="AA18" t="s">
        <v>5</v>
      </c>
      <c r="AB18" t="s">
        <v>16</v>
      </c>
    </row>
    <row r="19" spans="1:29" x14ac:dyDescent="0.3">
      <c r="A19" t="s">
        <v>1</v>
      </c>
      <c r="B19" t="s">
        <v>2</v>
      </c>
      <c r="C19" t="s">
        <v>3</v>
      </c>
      <c r="D19" t="s">
        <v>4</v>
      </c>
      <c r="F19" t="s">
        <v>1</v>
      </c>
      <c r="G19" t="s">
        <v>2</v>
      </c>
      <c r="H19" t="s">
        <v>3</v>
      </c>
      <c r="I19" t="s">
        <v>4</v>
      </c>
      <c r="K19" t="s">
        <v>1</v>
      </c>
      <c r="L19" t="s">
        <v>2</v>
      </c>
      <c r="M19" t="s">
        <v>3</v>
      </c>
      <c r="N19" t="s">
        <v>4</v>
      </c>
      <c r="P19" t="s">
        <v>1</v>
      </c>
      <c r="Q19" t="s">
        <v>2</v>
      </c>
      <c r="R19" t="s">
        <v>3</v>
      </c>
      <c r="S19" t="s">
        <v>4</v>
      </c>
      <c r="U19" t="s">
        <v>1</v>
      </c>
      <c r="V19" t="s">
        <v>2</v>
      </c>
      <c r="W19" t="s">
        <v>3</v>
      </c>
      <c r="X19" t="s">
        <v>4</v>
      </c>
      <c r="Z19" t="s">
        <v>1</v>
      </c>
      <c r="AA19" t="s">
        <v>2</v>
      </c>
      <c r="AB19" t="s">
        <v>3</v>
      </c>
      <c r="AC19" t="s">
        <v>4</v>
      </c>
    </row>
    <row r="20" spans="1:29" x14ac:dyDescent="0.3">
      <c r="A20">
        <v>0</v>
      </c>
      <c r="F20">
        <v>0</v>
      </c>
      <c r="G20">
        <v>4.9663000000000004</v>
      </c>
      <c r="H20">
        <v>0.997</v>
      </c>
      <c r="K20">
        <v>0</v>
      </c>
      <c r="L20">
        <v>4.4831000000000003</v>
      </c>
      <c r="M20">
        <v>0.91200000000000003</v>
      </c>
      <c r="P20">
        <v>0</v>
      </c>
      <c r="Q20">
        <v>3.9220999999999999</v>
      </c>
      <c r="R20">
        <v>0.79100000000000004</v>
      </c>
      <c r="U20">
        <v>0</v>
      </c>
      <c r="V20">
        <v>3.3176999999999999</v>
      </c>
      <c r="W20">
        <v>0.46700000000000003</v>
      </c>
      <c r="Z20">
        <v>0</v>
      </c>
      <c r="AA20">
        <v>2.7006999999999999</v>
      </c>
      <c r="AB20">
        <v>0.192</v>
      </c>
    </row>
    <row r="21" spans="1:29" x14ac:dyDescent="0.3">
      <c r="A21">
        <v>10</v>
      </c>
      <c r="F21">
        <v>10</v>
      </c>
      <c r="G21">
        <v>8.0533000000000001</v>
      </c>
      <c r="H21">
        <v>2.2349999999999999</v>
      </c>
      <c r="K21">
        <v>10</v>
      </c>
      <c r="L21">
        <v>7.2365000000000004</v>
      </c>
      <c r="M21">
        <v>2.2919999999999998</v>
      </c>
      <c r="P21">
        <v>10</v>
      </c>
      <c r="Q21">
        <v>6.2893999999999997</v>
      </c>
      <c r="R21">
        <v>1.7769999999999999</v>
      </c>
      <c r="U21">
        <v>10</v>
      </c>
      <c r="V21">
        <v>5.2830000000000004</v>
      </c>
      <c r="W21">
        <v>1.413</v>
      </c>
      <c r="Z21">
        <v>10</v>
      </c>
      <c r="AA21">
        <v>4.3074000000000003</v>
      </c>
      <c r="AB21">
        <v>0.94599999999999995</v>
      </c>
    </row>
    <row r="22" spans="1:29" x14ac:dyDescent="0.3">
      <c r="A22">
        <v>20</v>
      </c>
      <c r="F22">
        <v>20</v>
      </c>
      <c r="G22">
        <v>13.126099999999999</v>
      </c>
      <c r="H22">
        <v>5.766</v>
      </c>
      <c r="K22">
        <v>20</v>
      </c>
      <c r="L22">
        <v>11.931699999999999</v>
      </c>
      <c r="M22">
        <v>5.4589999999999996</v>
      </c>
      <c r="P22">
        <v>20</v>
      </c>
      <c r="Q22">
        <v>10.5182</v>
      </c>
      <c r="R22">
        <v>4.4850000000000003</v>
      </c>
      <c r="U22">
        <v>20</v>
      </c>
      <c r="V22">
        <v>9.0117999999999991</v>
      </c>
      <c r="W22">
        <v>3.7749999999999999</v>
      </c>
      <c r="Z22">
        <v>20</v>
      </c>
      <c r="AA22">
        <v>7.2836999999999996</v>
      </c>
      <c r="AB22">
        <v>2.9630000000000001</v>
      </c>
    </row>
    <row r="23" spans="1:29" x14ac:dyDescent="0.3">
      <c r="A23">
        <v>30</v>
      </c>
      <c r="F23">
        <v>30</v>
      </c>
      <c r="G23">
        <v>23.273</v>
      </c>
      <c r="H23">
        <v>14.723000000000001</v>
      </c>
      <c r="I23">
        <v>13.0656</v>
      </c>
      <c r="K23">
        <v>30</v>
      </c>
      <c r="L23">
        <v>20.8386</v>
      </c>
      <c r="M23">
        <v>13.375999999999999</v>
      </c>
      <c r="N23">
        <v>10.349</v>
      </c>
      <c r="P23">
        <v>30</v>
      </c>
      <c r="Q23">
        <v>17.920100000000001</v>
      </c>
      <c r="R23">
        <v>11.52</v>
      </c>
      <c r="S23">
        <v>7.7130000000000001</v>
      </c>
      <c r="U23">
        <v>30</v>
      </c>
      <c r="V23">
        <v>15.1067</v>
      </c>
      <c r="W23">
        <v>9.3170000000000002</v>
      </c>
      <c r="X23">
        <v>5.3250000000000002</v>
      </c>
      <c r="Z23">
        <v>30</v>
      </c>
      <c r="AA23">
        <v>12.593</v>
      </c>
      <c r="AB23">
        <v>7.3710000000000004</v>
      </c>
    </row>
    <row r="24" spans="1:29" x14ac:dyDescent="0.3">
      <c r="A24">
        <v>40</v>
      </c>
      <c r="F24">
        <v>40</v>
      </c>
      <c r="G24">
        <v>47.514099999999999</v>
      </c>
      <c r="H24">
        <v>40.738999999999997</v>
      </c>
      <c r="I24">
        <v>60.988</v>
      </c>
      <c r="K24">
        <v>40</v>
      </c>
      <c r="L24">
        <v>42.109699999999997</v>
      </c>
      <c r="M24">
        <v>36.575000000000003</v>
      </c>
      <c r="N24">
        <v>49.33</v>
      </c>
      <c r="P24">
        <v>40</v>
      </c>
      <c r="Q24">
        <v>34.802500000000002</v>
      </c>
      <c r="R24">
        <v>30.344000000000001</v>
      </c>
      <c r="S24">
        <v>37.258000000000003</v>
      </c>
      <c r="U24">
        <v>40</v>
      </c>
      <c r="V24">
        <v>28.3827</v>
      </c>
      <c r="W24">
        <v>23.949000000000002</v>
      </c>
      <c r="X24">
        <v>27.074000000000002</v>
      </c>
      <c r="Z24">
        <v>40</v>
      </c>
      <c r="AA24">
        <v>22.7926</v>
      </c>
      <c r="AB24">
        <v>19.364000000000001</v>
      </c>
      <c r="AC24">
        <v>18.299600000000002</v>
      </c>
    </row>
    <row r="26" spans="1:29" x14ac:dyDescent="0.3">
      <c r="A26" t="s">
        <v>8</v>
      </c>
      <c r="B26" t="s">
        <v>5</v>
      </c>
      <c r="F26" t="s">
        <v>8</v>
      </c>
      <c r="G26" t="s">
        <v>5</v>
      </c>
      <c r="K26" t="s">
        <v>8</v>
      </c>
      <c r="L26" t="s">
        <v>5</v>
      </c>
      <c r="M26" t="s">
        <v>13</v>
      </c>
      <c r="P26" t="s">
        <v>8</v>
      </c>
      <c r="Q26" t="s">
        <v>5</v>
      </c>
      <c r="R26" t="s">
        <v>14</v>
      </c>
      <c r="U26" t="s">
        <v>8</v>
      </c>
      <c r="V26" t="s">
        <v>5</v>
      </c>
      <c r="W26" t="s">
        <v>15</v>
      </c>
      <c r="Z26" t="s">
        <v>8</v>
      </c>
      <c r="AA26" t="s">
        <v>5</v>
      </c>
      <c r="AB26" t="s">
        <v>16</v>
      </c>
    </row>
    <row r="27" spans="1:29" x14ac:dyDescent="0.3">
      <c r="A27" t="s">
        <v>1</v>
      </c>
      <c r="B27" t="s">
        <v>2</v>
      </c>
      <c r="C27" t="s">
        <v>3</v>
      </c>
      <c r="D27" t="s">
        <v>4</v>
      </c>
      <c r="F27" t="s">
        <v>1</v>
      </c>
      <c r="G27" t="s">
        <v>2</v>
      </c>
      <c r="H27" t="s">
        <v>3</v>
      </c>
      <c r="I27" t="s">
        <v>4</v>
      </c>
      <c r="K27" t="s">
        <v>1</v>
      </c>
      <c r="L27" t="s">
        <v>2</v>
      </c>
      <c r="M27" t="s">
        <v>3</v>
      </c>
      <c r="N27" t="s">
        <v>4</v>
      </c>
      <c r="P27" t="s">
        <v>1</v>
      </c>
      <c r="Q27" t="s">
        <v>2</v>
      </c>
      <c r="R27" t="s">
        <v>3</v>
      </c>
      <c r="S27" t="s">
        <v>4</v>
      </c>
      <c r="U27" t="s">
        <v>1</v>
      </c>
      <c r="V27" t="s">
        <v>2</v>
      </c>
      <c r="W27" t="s">
        <v>3</v>
      </c>
      <c r="X27" t="s">
        <v>4</v>
      </c>
      <c r="Z27" t="s">
        <v>1</v>
      </c>
      <c r="AA27" t="s">
        <v>2</v>
      </c>
      <c r="AB27" t="s">
        <v>3</v>
      </c>
      <c r="AC27" t="s">
        <v>4</v>
      </c>
    </row>
    <row r="28" spans="1:29" x14ac:dyDescent="0.3">
      <c r="A28">
        <v>0</v>
      </c>
      <c r="F28">
        <v>0</v>
      </c>
      <c r="G28">
        <v>4.9623999999999997</v>
      </c>
      <c r="H28">
        <v>0.99299999999999999</v>
      </c>
      <c r="K28">
        <v>0</v>
      </c>
      <c r="L28">
        <v>4.4821</v>
      </c>
      <c r="M28">
        <v>0.874</v>
      </c>
      <c r="P28">
        <v>0</v>
      </c>
      <c r="Q28">
        <v>3.9270999999999998</v>
      </c>
      <c r="R28">
        <v>0.68500000000000005</v>
      </c>
      <c r="U28">
        <v>0</v>
      </c>
      <c r="V28">
        <v>3.3159999999999998</v>
      </c>
      <c r="W28">
        <v>0.47099999999999997</v>
      </c>
      <c r="Z28">
        <v>0</v>
      </c>
      <c r="AA28">
        <v>2.7023000000000001</v>
      </c>
      <c r="AB28">
        <v>0.13800000000000001</v>
      </c>
    </row>
    <row r="29" spans="1:29" x14ac:dyDescent="0.3">
      <c r="A29">
        <v>10</v>
      </c>
      <c r="F29">
        <v>10</v>
      </c>
      <c r="G29">
        <v>7.7957000000000001</v>
      </c>
      <c r="H29">
        <v>2.4</v>
      </c>
      <c r="K29">
        <v>10</v>
      </c>
      <c r="L29">
        <v>7.2522000000000002</v>
      </c>
      <c r="M29">
        <v>2.0419999999999998</v>
      </c>
      <c r="P29">
        <v>10</v>
      </c>
      <c r="Q29">
        <v>6.2824</v>
      </c>
      <c r="R29">
        <v>1.851</v>
      </c>
      <c r="U29">
        <v>10</v>
      </c>
      <c r="V29">
        <v>5.2778999999999998</v>
      </c>
      <c r="W29">
        <v>1.4</v>
      </c>
      <c r="Z29">
        <v>10</v>
      </c>
      <c r="AA29">
        <v>4.3076999999999996</v>
      </c>
      <c r="AB29">
        <v>0.88300000000000001</v>
      </c>
    </row>
    <row r="30" spans="1:29" x14ac:dyDescent="0.3">
      <c r="A30">
        <v>20</v>
      </c>
      <c r="F30">
        <v>20</v>
      </c>
      <c r="G30">
        <v>12.200900000000001</v>
      </c>
      <c r="H30">
        <v>5.4610000000000003</v>
      </c>
      <c r="K30">
        <v>20</v>
      </c>
      <c r="L30">
        <v>11.2773</v>
      </c>
      <c r="M30">
        <v>4.9400000000000004</v>
      </c>
      <c r="P30">
        <v>20</v>
      </c>
      <c r="Q30">
        <v>10.0289</v>
      </c>
      <c r="R30">
        <v>4.5960000000000001</v>
      </c>
      <c r="U30">
        <v>20</v>
      </c>
      <c r="V30">
        <v>8.7858000000000001</v>
      </c>
      <c r="W30">
        <v>3.7669999999999999</v>
      </c>
      <c r="Z30">
        <v>20</v>
      </c>
      <c r="AA30">
        <v>7.2686000000000002</v>
      </c>
      <c r="AB30">
        <v>2.823</v>
      </c>
    </row>
    <row r="31" spans="1:29" x14ac:dyDescent="0.3">
      <c r="A31">
        <v>30</v>
      </c>
      <c r="F31">
        <v>30</v>
      </c>
      <c r="G31">
        <v>20.465299999999999</v>
      </c>
      <c r="H31">
        <v>13.03</v>
      </c>
      <c r="K31">
        <v>30</v>
      </c>
      <c r="L31">
        <v>18.753</v>
      </c>
      <c r="M31">
        <v>11.545999999999999</v>
      </c>
      <c r="P31">
        <v>30</v>
      </c>
      <c r="Q31">
        <v>16.255500000000001</v>
      </c>
      <c r="R31">
        <v>10.039</v>
      </c>
      <c r="U31">
        <v>30</v>
      </c>
      <c r="V31">
        <v>13.8695</v>
      </c>
      <c r="W31">
        <v>8.6940000000000008</v>
      </c>
      <c r="Z31">
        <v>30</v>
      </c>
      <c r="AA31">
        <v>11.6875</v>
      </c>
      <c r="AB31">
        <v>7.1020000000000003</v>
      </c>
    </row>
    <row r="32" spans="1:29" x14ac:dyDescent="0.3">
      <c r="A32">
        <v>40</v>
      </c>
      <c r="F32">
        <v>40</v>
      </c>
      <c r="G32">
        <v>38.6631</v>
      </c>
      <c r="H32">
        <v>33.417000000000002</v>
      </c>
      <c r="I32">
        <v>46.503</v>
      </c>
      <c r="K32">
        <v>40</v>
      </c>
      <c r="L32">
        <v>35.043700000000001</v>
      </c>
      <c r="M32">
        <v>29.818999999999999</v>
      </c>
      <c r="N32">
        <v>41.296999999999997</v>
      </c>
      <c r="P32">
        <v>40</v>
      </c>
      <c r="Q32">
        <v>29.216699999999999</v>
      </c>
      <c r="R32">
        <v>25.059000000000001</v>
      </c>
      <c r="S32">
        <v>31.966000000000001</v>
      </c>
      <c r="U32">
        <v>40</v>
      </c>
      <c r="V32">
        <v>24.112300000000001</v>
      </c>
      <c r="W32">
        <v>20.329000000000001</v>
      </c>
      <c r="X32">
        <v>24.1523</v>
      </c>
      <c r="Z32">
        <v>40</v>
      </c>
      <c r="AA32">
        <v>19.601900000000001</v>
      </c>
      <c r="AB32">
        <v>17.27</v>
      </c>
      <c r="AC32">
        <v>17.440999999999999</v>
      </c>
    </row>
    <row r="34" spans="1:29" x14ac:dyDescent="0.3">
      <c r="A34" t="s">
        <v>9</v>
      </c>
      <c r="B34" t="s">
        <v>5</v>
      </c>
      <c r="F34" t="s">
        <v>9</v>
      </c>
      <c r="G34" t="s">
        <v>5</v>
      </c>
      <c r="K34" t="s">
        <v>9</v>
      </c>
      <c r="L34" t="s">
        <v>5</v>
      </c>
      <c r="M34" t="s">
        <v>13</v>
      </c>
      <c r="P34" t="s">
        <v>9</v>
      </c>
      <c r="Q34" t="s">
        <v>5</v>
      </c>
      <c r="R34" t="s">
        <v>14</v>
      </c>
      <c r="U34" t="s">
        <v>9</v>
      </c>
      <c r="V34" t="s">
        <v>5</v>
      </c>
      <c r="W34" t="s">
        <v>15</v>
      </c>
      <c r="Z34" t="s">
        <v>9</v>
      </c>
      <c r="AA34" t="s">
        <v>5</v>
      </c>
      <c r="AB34" t="s">
        <v>16</v>
      </c>
    </row>
    <row r="35" spans="1:29" x14ac:dyDescent="0.3">
      <c r="A35" t="s">
        <v>1</v>
      </c>
      <c r="B35" t="s">
        <v>2</v>
      </c>
      <c r="C35" t="s">
        <v>3</v>
      </c>
      <c r="D35" t="s">
        <v>4</v>
      </c>
      <c r="F35" t="s">
        <v>1</v>
      </c>
      <c r="G35" t="s">
        <v>2</v>
      </c>
      <c r="H35" t="s">
        <v>3</v>
      </c>
      <c r="I35" t="s">
        <v>4</v>
      </c>
      <c r="K35" t="s">
        <v>1</v>
      </c>
      <c r="L35" t="s">
        <v>2</v>
      </c>
      <c r="M35" t="s">
        <v>3</v>
      </c>
      <c r="N35" t="s">
        <v>4</v>
      </c>
      <c r="P35" t="s">
        <v>1</v>
      </c>
      <c r="Q35" t="s">
        <v>2</v>
      </c>
      <c r="R35" t="s">
        <v>3</v>
      </c>
      <c r="S35" t="s">
        <v>4</v>
      </c>
      <c r="U35" t="s">
        <v>1</v>
      </c>
      <c r="V35" t="s">
        <v>2</v>
      </c>
      <c r="W35" t="s">
        <v>3</v>
      </c>
      <c r="X35" t="s">
        <v>4</v>
      </c>
      <c r="Z35" t="s">
        <v>1</v>
      </c>
      <c r="AA35" t="s">
        <v>2</v>
      </c>
      <c r="AB35" t="s">
        <v>3</v>
      </c>
      <c r="AC35" t="s">
        <v>4</v>
      </c>
    </row>
    <row r="36" spans="1:29" x14ac:dyDescent="0.3">
      <c r="A36">
        <v>0</v>
      </c>
      <c r="F36">
        <v>0</v>
      </c>
      <c r="G36">
        <v>4.9577999999999998</v>
      </c>
      <c r="H36">
        <v>1.0309999999999999</v>
      </c>
      <c r="K36">
        <v>0</v>
      </c>
      <c r="L36">
        <v>4.4774000000000003</v>
      </c>
      <c r="M36">
        <v>0.94799999999999995</v>
      </c>
      <c r="P36">
        <v>0</v>
      </c>
      <c r="Q36">
        <v>3.9253</v>
      </c>
      <c r="R36">
        <v>0.71699999999999997</v>
      </c>
      <c r="U36">
        <v>0</v>
      </c>
      <c r="V36">
        <v>3.3149999999999999</v>
      </c>
      <c r="W36">
        <v>0.49199999999999999</v>
      </c>
      <c r="Z36">
        <v>0</v>
      </c>
      <c r="AA36">
        <v>2.7017000000000002</v>
      </c>
      <c r="AB36">
        <v>0.14299999999999999</v>
      </c>
    </row>
    <row r="37" spans="1:29" x14ac:dyDescent="0.3">
      <c r="A37">
        <v>10</v>
      </c>
      <c r="F37">
        <v>10</v>
      </c>
      <c r="G37">
        <v>7.4579000000000004</v>
      </c>
      <c r="H37">
        <v>2.4079999999999999</v>
      </c>
      <c r="K37">
        <v>10</v>
      </c>
      <c r="L37">
        <v>7.0364000000000004</v>
      </c>
      <c r="M37">
        <v>2.0739999999999998</v>
      </c>
      <c r="P37">
        <v>10</v>
      </c>
      <c r="Q37">
        <v>6.2754000000000003</v>
      </c>
      <c r="R37">
        <v>1.901</v>
      </c>
      <c r="U37">
        <v>10</v>
      </c>
      <c r="V37">
        <v>5.2803000000000004</v>
      </c>
      <c r="W37">
        <v>1.3440000000000001</v>
      </c>
      <c r="Z37">
        <v>10</v>
      </c>
      <c r="AA37">
        <v>4.2942</v>
      </c>
      <c r="AB37">
        <v>0.94499999999999995</v>
      </c>
    </row>
    <row r="38" spans="1:29" x14ac:dyDescent="0.3">
      <c r="A38">
        <v>20</v>
      </c>
      <c r="F38">
        <v>20</v>
      </c>
      <c r="G38">
        <v>11.2661</v>
      </c>
      <c r="H38">
        <v>4.9669999999999996</v>
      </c>
      <c r="K38">
        <v>20</v>
      </c>
      <c r="L38">
        <v>10.565200000000001</v>
      </c>
      <c r="M38">
        <v>4.6289999999999996</v>
      </c>
      <c r="P38">
        <v>20</v>
      </c>
      <c r="Q38">
        <v>9.4515999999999991</v>
      </c>
      <c r="R38">
        <v>4.1840000000000002</v>
      </c>
      <c r="U38">
        <v>20</v>
      </c>
      <c r="V38">
        <v>8.3446999999999996</v>
      </c>
      <c r="W38">
        <v>3.625</v>
      </c>
      <c r="Z38">
        <v>20</v>
      </c>
      <c r="AA38">
        <v>7.2539999999999996</v>
      </c>
      <c r="AB38">
        <v>2.8919999999999999</v>
      </c>
    </row>
    <row r="39" spans="1:29" x14ac:dyDescent="0.3">
      <c r="A39">
        <v>30</v>
      </c>
      <c r="F39">
        <v>30</v>
      </c>
      <c r="G39">
        <v>17.8992</v>
      </c>
      <c r="H39">
        <v>11.303000000000001</v>
      </c>
      <c r="K39">
        <v>30</v>
      </c>
      <c r="L39">
        <v>16.6784</v>
      </c>
      <c r="M39">
        <v>10.553000000000001</v>
      </c>
      <c r="P39">
        <v>30</v>
      </c>
      <c r="Q39">
        <v>14.5747</v>
      </c>
      <c r="R39">
        <v>9.0530000000000008</v>
      </c>
      <c r="U39">
        <v>30</v>
      </c>
      <c r="V39">
        <v>12.559699999999999</v>
      </c>
      <c r="W39">
        <v>7.75</v>
      </c>
      <c r="Z39">
        <v>30</v>
      </c>
      <c r="AA39">
        <v>10.7224</v>
      </c>
      <c r="AB39">
        <v>6.5190000000000001</v>
      </c>
    </row>
    <row r="40" spans="1:29" x14ac:dyDescent="0.3">
      <c r="A40">
        <v>40</v>
      </c>
      <c r="F40">
        <v>40</v>
      </c>
      <c r="G40">
        <v>31.311599999999999</v>
      </c>
      <c r="H40">
        <v>26.748000000000001</v>
      </c>
      <c r="K40">
        <v>40</v>
      </c>
      <c r="L40">
        <v>28.880600000000001</v>
      </c>
      <c r="M40">
        <v>25.189</v>
      </c>
      <c r="P40">
        <v>40</v>
      </c>
      <c r="Q40">
        <v>24.397099999999998</v>
      </c>
      <c r="R40">
        <v>19.971</v>
      </c>
      <c r="U40">
        <v>40</v>
      </c>
      <c r="V40">
        <v>20.322500000000002</v>
      </c>
      <c r="W40">
        <v>17.681000000000001</v>
      </c>
      <c r="Z40">
        <v>40</v>
      </c>
      <c r="AA40">
        <v>16.790700000000001</v>
      </c>
      <c r="AB40">
        <v>14.262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A58D-35B0-4428-B4D9-07FC8D0A100B}">
  <dimension ref="A1:AC40"/>
  <sheetViews>
    <sheetView topLeftCell="M11" workbookViewId="0">
      <selection activeCell="V25" sqref="V25"/>
    </sheetView>
  </sheetViews>
  <sheetFormatPr defaultRowHeight="14.4" x14ac:dyDescent="0.3"/>
  <cols>
    <col min="1" max="1" width="15.44140625" customWidth="1"/>
    <col min="6" max="6" width="13.5546875" customWidth="1"/>
    <col min="11" max="11" width="16.33203125" customWidth="1"/>
    <col min="13" max="13" width="10.109375" customWidth="1"/>
    <col min="16" max="16" width="14.109375" bestFit="1" customWidth="1"/>
    <col min="18" max="18" width="11.33203125" customWidth="1"/>
    <col min="21" max="21" width="14" customWidth="1"/>
    <col min="22" max="22" width="10.109375" customWidth="1"/>
    <col min="23" max="23" width="11.44140625" customWidth="1"/>
    <col min="24" max="24" width="9.88671875" customWidth="1"/>
    <col min="26" max="26" width="14" customWidth="1"/>
    <col min="27" max="27" width="10.109375" customWidth="1"/>
    <col min="28" max="28" width="11.44140625" customWidth="1"/>
    <col min="29" max="29" width="9.88671875" customWidth="1"/>
  </cols>
  <sheetData>
    <row r="1" spans="1:29" x14ac:dyDescent="0.3">
      <c r="A1" t="s">
        <v>10</v>
      </c>
      <c r="F1" t="s">
        <v>11</v>
      </c>
      <c r="K1" t="s">
        <v>11</v>
      </c>
      <c r="P1" t="s">
        <v>11</v>
      </c>
      <c r="U1" t="s">
        <v>11</v>
      </c>
      <c r="Z1" t="s">
        <v>11</v>
      </c>
    </row>
    <row r="2" spans="1:29" x14ac:dyDescent="0.3">
      <c r="A2" t="s">
        <v>0</v>
      </c>
      <c r="B2" t="s">
        <v>5</v>
      </c>
      <c r="F2" t="s">
        <v>0</v>
      </c>
      <c r="G2" t="s">
        <v>5</v>
      </c>
      <c r="K2" t="s">
        <v>0</v>
      </c>
      <c r="L2" t="s">
        <v>5</v>
      </c>
      <c r="M2" t="s">
        <v>13</v>
      </c>
      <c r="P2" t="s">
        <v>0</v>
      </c>
      <c r="Q2" t="s">
        <v>5</v>
      </c>
      <c r="R2" t="s">
        <v>14</v>
      </c>
      <c r="U2" t="s">
        <v>0</v>
      </c>
      <c r="V2" t="s">
        <v>5</v>
      </c>
      <c r="W2" t="s">
        <v>15</v>
      </c>
      <c r="Z2" t="s">
        <v>0</v>
      </c>
      <c r="AA2" t="s">
        <v>5</v>
      </c>
      <c r="AB2" t="s">
        <v>16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I3" t="s">
        <v>4</v>
      </c>
      <c r="K3" t="s">
        <v>1</v>
      </c>
      <c r="L3" t="s">
        <v>2</v>
      </c>
      <c r="M3" t="s">
        <v>3</v>
      </c>
      <c r="N3" t="s">
        <v>4</v>
      </c>
      <c r="P3" t="s">
        <v>1</v>
      </c>
      <c r="Q3" t="s">
        <v>2</v>
      </c>
      <c r="R3" t="s">
        <v>3</v>
      </c>
      <c r="S3" t="s">
        <v>4</v>
      </c>
      <c r="U3" t="s">
        <v>1</v>
      </c>
      <c r="V3" t="s">
        <v>2</v>
      </c>
      <c r="W3" t="s">
        <v>3</v>
      </c>
      <c r="X3" t="s">
        <v>4</v>
      </c>
      <c r="Z3" t="s">
        <v>1</v>
      </c>
      <c r="AA3" t="s">
        <v>2</v>
      </c>
      <c r="AB3" t="s">
        <v>3</v>
      </c>
      <c r="AC3" t="s">
        <v>4</v>
      </c>
    </row>
    <row r="4" spans="1:29" x14ac:dyDescent="0.3">
      <c r="A4">
        <v>0</v>
      </c>
      <c r="F4">
        <v>0</v>
      </c>
      <c r="K4">
        <v>0</v>
      </c>
      <c r="P4">
        <v>0</v>
      </c>
      <c r="U4">
        <v>0</v>
      </c>
      <c r="Z4">
        <v>0</v>
      </c>
    </row>
    <row r="5" spans="1:29" x14ac:dyDescent="0.3">
      <c r="A5">
        <v>10</v>
      </c>
      <c r="F5">
        <v>10</v>
      </c>
      <c r="K5">
        <v>10</v>
      </c>
      <c r="P5">
        <v>10</v>
      </c>
      <c r="U5">
        <v>10</v>
      </c>
      <c r="Z5">
        <v>10</v>
      </c>
    </row>
    <row r="6" spans="1:29" x14ac:dyDescent="0.3">
      <c r="A6">
        <v>20</v>
      </c>
      <c r="F6">
        <v>20</v>
      </c>
      <c r="K6">
        <v>20</v>
      </c>
      <c r="P6">
        <v>20</v>
      </c>
      <c r="U6">
        <v>20</v>
      </c>
      <c r="Z6">
        <v>20</v>
      </c>
    </row>
    <row r="7" spans="1:29" x14ac:dyDescent="0.3">
      <c r="A7">
        <v>30</v>
      </c>
      <c r="F7">
        <v>30</v>
      </c>
      <c r="K7">
        <v>30</v>
      </c>
      <c r="P7">
        <v>30</v>
      </c>
      <c r="U7">
        <v>30</v>
      </c>
      <c r="Z7">
        <v>30</v>
      </c>
    </row>
    <row r="8" spans="1:29" x14ac:dyDescent="0.3">
      <c r="A8">
        <v>40</v>
      </c>
      <c r="F8">
        <v>40</v>
      </c>
      <c r="K8">
        <v>40</v>
      </c>
      <c r="P8">
        <v>40</v>
      </c>
      <c r="U8">
        <v>40</v>
      </c>
      <c r="Z8">
        <v>40</v>
      </c>
    </row>
    <row r="10" spans="1:29" x14ac:dyDescent="0.3">
      <c r="A10" t="s">
        <v>7</v>
      </c>
      <c r="B10" t="s">
        <v>5</v>
      </c>
      <c r="F10" t="s">
        <v>7</v>
      </c>
      <c r="G10" t="s">
        <v>5</v>
      </c>
      <c r="K10" t="s">
        <v>7</v>
      </c>
      <c r="L10" t="s">
        <v>5</v>
      </c>
      <c r="M10" t="s">
        <v>13</v>
      </c>
      <c r="P10" t="s">
        <v>7</v>
      </c>
      <c r="Q10" t="s">
        <v>5</v>
      </c>
      <c r="R10" t="s">
        <v>14</v>
      </c>
      <c r="U10" t="s">
        <v>7</v>
      </c>
      <c r="V10" t="s">
        <v>5</v>
      </c>
      <c r="W10" t="s">
        <v>15</v>
      </c>
      <c r="Z10" t="s">
        <v>7</v>
      </c>
      <c r="AA10" t="s">
        <v>5</v>
      </c>
      <c r="AB10" t="s">
        <v>16</v>
      </c>
    </row>
    <row r="11" spans="1:29" x14ac:dyDescent="0.3">
      <c r="A11" t="s">
        <v>1</v>
      </c>
      <c r="B11" t="s">
        <v>2</v>
      </c>
      <c r="C11" t="s">
        <v>3</v>
      </c>
      <c r="D11" t="s">
        <v>4</v>
      </c>
      <c r="F11" t="s">
        <v>1</v>
      </c>
      <c r="G11" t="s">
        <v>2</v>
      </c>
      <c r="H11" t="s">
        <v>3</v>
      </c>
      <c r="I11" t="s">
        <v>4</v>
      </c>
      <c r="K11" t="s">
        <v>1</v>
      </c>
      <c r="L11" t="s">
        <v>2</v>
      </c>
      <c r="M11" t="s">
        <v>3</v>
      </c>
      <c r="N11" t="s">
        <v>4</v>
      </c>
      <c r="P11" t="s">
        <v>1</v>
      </c>
      <c r="Q11" t="s">
        <v>2</v>
      </c>
      <c r="R11" t="s">
        <v>3</v>
      </c>
      <c r="S11" t="s">
        <v>4</v>
      </c>
      <c r="U11" t="s">
        <v>1</v>
      </c>
      <c r="V11" t="s">
        <v>2</v>
      </c>
      <c r="W11" t="s">
        <v>3</v>
      </c>
      <c r="X11" t="s">
        <v>4</v>
      </c>
      <c r="Z11" t="s">
        <v>1</v>
      </c>
      <c r="AA11" t="s">
        <v>2</v>
      </c>
      <c r="AB11" t="s">
        <v>3</v>
      </c>
      <c r="AC11" t="s">
        <v>4</v>
      </c>
    </row>
    <row r="12" spans="1:29" x14ac:dyDescent="0.3">
      <c r="A12">
        <v>0</v>
      </c>
      <c r="F12">
        <v>0</v>
      </c>
      <c r="G12">
        <v>4.9598000000000004</v>
      </c>
      <c r="H12">
        <v>0.97699999999999998</v>
      </c>
      <c r="K12">
        <v>0</v>
      </c>
      <c r="L12">
        <v>4.4856999999999996</v>
      </c>
      <c r="M12">
        <v>0.89500000000000002</v>
      </c>
      <c r="P12">
        <v>0</v>
      </c>
      <c r="Q12">
        <v>3.9357000000000002</v>
      </c>
      <c r="R12">
        <v>0.74299999999999999</v>
      </c>
      <c r="U12">
        <v>0</v>
      </c>
      <c r="V12">
        <v>3.3241000000000001</v>
      </c>
      <c r="W12">
        <v>0.41</v>
      </c>
      <c r="Z12">
        <v>0</v>
      </c>
      <c r="AA12">
        <v>2.7033999999999998</v>
      </c>
      <c r="AB12">
        <v>0.152</v>
      </c>
    </row>
    <row r="13" spans="1:29" x14ac:dyDescent="0.3">
      <c r="A13">
        <v>10</v>
      </c>
      <c r="F13">
        <v>10</v>
      </c>
      <c r="G13">
        <v>8.1303999999999998</v>
      </c>
      <c r="H13">
        <v>2.452</v>
      </c>
      <c r="K13">
        <v>10</v>
      </c>
      <c r="L13">
        <v>7.2542999999999997</v>
      </c>
      <c r="M13">
        <v>2.0630000000000002</v>
      </c>
      <c r="P13">
        <v>10</v>
      </c>
      <c r="Q13">
        <v>6.2972999999999999</v>
      </c>
      <c r="R13">
        <v>1.7709999999999999</v>
      </c>
      <c r="U13">
        <v>10</v>
      </c>
      <c r="V13">
        <v>5.2869999999999999</v>
      </c>
      <c r="W13">
        <v>1.3440000000000001</v>
      </c>
      <c r="Z13">
        <v>10</v>
      </c>
      <c r="AA13">
        <v>4.3038999999999996</v>
      </c>
      <c r="AB13">
        <v>0.91900000000000004</v>
      </c>
    </row>
    <row r="14" spans="1:29" x14ac:dyDescent="0.3">
      <c r="A14">
        <v>20</v>
      </c>
      <c r="F14">
        <v>20</v>
      </c>
      <c r="G14">
        <v>14.4901</v>
      </c>
      <c r="H14">
        <v>6.3630000000000004</v>
      </c>
      <c r="I14">
        <v>0.504</v>
      </c>
      <c r="K14">
        <v>20</v>
      </c>
      <c r="L14">
        <v>12.7171</v>
      </c>
      <c r="M14">
        <v>5.4560000000000004</v>
      </c>
      <c r="P14">
        <v>20</v>
      </c>
      <c r="Q14">
        <v>10.879300000000001</v>
      </c>
      <c r="R14">
        <v>4.47</v>
      </c>
      <c r="U14">
        <v>20</v>
      </c>
      <c r="V14">
        <v>9.0189000000000004</v>
      </c>
      <c r="W14">
        <v>3.8340000000000001</v>
      </c>
      <c r="Z14">
        <v>20</v>
      </c>
      <c r="AA14">
        <v>7.2850999999999999</v>
      </c>
      <c r="AB14">
        <v>2.7469999999999999</v>
      </c>
    </row>
    <row r="15" spans="1:29" x14ac:dyDescent="0.3">
      <c r="A15">
        <v>30</v>
      </c>
      <c r="F15">
        <v>30</v>
      </c>
      <c r="G15">
        <v>27.393000000000001</v>
      </c>
      <c r="H15">
        <v>17.088000000000001</v>
      </c>
      <c r="I15">
        <v>12.981</v>
      </c>
      <c r="K15">
        <v>30</v>
      </c>
      <c r="L15">
        <v>24.1066</v>
      </c>
      <c r="M15">
        <v>14.07</v>
      </c>
      <c r="N15">
        <v>10.483000000000001</v>
      </c>
      <c r="P15">
        <v>30</v>
      </c>
      <c r="Q15">
        <v>20.527699999999999</v>
      </c>
      <c r="R15">
        <v>12.488</v>
      </c>
      <c r="S15">
        <v>7.8440000000000003</v>
      </c>
      <c r="U15">
        <v>30</v>
      </c>
      <c r="V15">
        <v>17.099699999999999</v>
      </c>
      <c r="W15">
        <v>10.515000000000001</v>
      </c>
      <c r="X15">
        <v>2.4235000000000002</v>
      </c>
      <c r="Z15">
        <v>30</v>
      </c>
      <c r="AA15">
        <v>13.6051</v>
      </c>
      <c r="AB15">
        <v>7.8029999999999999</v>
      </c>
    </row>
    <row r="16" spans="1:29" x14ac:dyDescent="0.3">
      <c r="A16">
        <v>40</v>
      </c>
      <c r="F16">
        <v>40</v>
      </c>
      <c r="G16">
        <v>60.802999999999997</v>
      </c>
      <c r="H16">
        <v>55.101999999999997</v>
      </c>
      <c r="I16">
        <v>70.733000000000004</v>
      </c>
      <c r="K16">
        <v>40</v>
      </c>
      <c r="L16">
        <v>52.375799999999998</v>
      </c>
      <c r="M16">
        <v>45.683999999999997</v>
      </c>
      <c r="N16">
        <v>58.177</v>
      </c>
      <c r="P16">
        <v>40</v>
      </c>
      <c r="Q16">
        <v>43.203400000000002</v>
      </c>
      <c r="R16">
        <v>35.776000000000003</v>
      </c>
      <c r="S16">
        <v>42.320999999999998</v>
      </c>
      <c r="U16">
        <v>40</v>
      </c>
      <c r="V16">
        <v>34.715200000000003</v>
      </c>
      <c r="W16">
        <v>29.183</v>
      </c>
      <c r="X16">
        <v>28.893000000000001</v>
      </c>
      <c r="Z16">
        <v>40</v>
      </c>
      <c r="AA16">
        <v>27.658999999999999</v>
      </c>
      <c r="AB16">
        <v>23.385000000000002</v>
      </c>
      <c r="AC16">
        <v>18.372</v>
      </c>
    </row>
    <row r="18" spans="1:29" x14ac:dyDescent="0.3">
      <c r="A18" t="s">
        <v>6</v>
      </c>
      <c r="B18" t="s">
        <v>5</v>
      </c>
      <c r="F18" t="s">
        <v>6</v>
      </c>
      <c r="G18" t="s">
        <v>5</v>
      </c>
      <c r="K18" t="s">
        <v>6</v>
      </c>
      <c r="L18" t="s">
        <v>5</v>
      </c>
      <c r="M18" t="s">
        <v>13</v>
      </c>
      <c r="P18" t="s">
        <v>6</v>
      </c>
      <c r="Q18" t="s">
        <v>5</v>
      </c>
      <c r="R18" t="s">
        <v>14</v>
      </c>
      <c r="U18" t="s">
        <v>6</v>
      </c>
      <c r="V18" t="s">
        <v>5</v>
      </c>
      <c r="W18" t="s">
        <v>15</v>
      </c>
      <c r="Z18" t="s">
        <v>6</v>
      </c>
      <c r="AA18" t="s">
        <v>5</v>
      </c>
      <c r="AB18" t="s">
        <v>16</v>
      </c>
    </row>
    <row r="19" spans="1:29" x14ac:dyDescent="0.3">
      <c r="A19" t="s">
        <v>1</v>
      </c>
      <c r="B19" t="s">
        <v>2</v>
      </c>
      <c r="C19" t="s">
        <v>3</v>
      </c>
      <c r="D19" t="s">
        <v>4</v>
      </c>
      <c r="F19" t="s">
        <v>1</v>
      </c>
      <c r="G19" t="s">
        <v>2</v>
      </c>
      <c r="H19" t="s">
        <v>3</v>
      </c>
      <c r="I19" t="s">
        <v>4</v>
      </c>
      <c r="K19" t="s">
        <v>1</v>
      </c>
      <c r="L19" t="s">
        <v>2</v>
      </c>
      <c r="M19" t="s">
        <v>3</v>
      </c>
      <c r="N19" t="s">
        <v>4</v>
      </c>
      <c r="P19" t="s">
        <v>1</v>
      </c>
      <c r="Q19" t="s">
        <v>2</v>
      </c>
      <c r="R19" t="s">
        <v>3</v>
      </c>
      <c r="S19" t="s">
        <v>4</v>
      </c>
      <c r="U19" t="s">
        <v>1</v>
      </c>
      <c r="V19" t="s">
        <v>2</v>
      </c>
      <c r="W19" t="s">
        <v>3</v>
      </c>
      <c r="X19" t="s">
        <v>4</v>
      </c>
      <c r="Z19" t="s">
        <v>1</v>
      </c>
      <c r="AA19" t="s">
        <v>2</v>
      </c>
      <c r="AB19" t="s">
        <v>3</v>
      </c>
      <c r="AC19" t="s">
        <v>4</v>
      </c>
    </row>
    <row r="20" spans="1:29" x14ac:dyDescent="0.3">
      <c r="A20">
        <v>0</v>
      </c>
      <c r="F20">
        <v>0</v>
      </c>
      <c r="G20">
        <v>4.9664000000000001</v>
      </c>
      <c r="H20">
        <v>0.98399999999999999</v>
      </c>
      <c r="K20">
        <v>0</v>
      </c>
      <c r="L20">
        <v>4.4874999999999998</v>
      </c>
      <c r="M20">
        <v>0.90100000000000002</v>
      </c>
      <c r="P20">
        <v>0</v>
      </c>
      <c r="Q20">
        <v>3.9272</v>
      </c>
      <c r="R20">
        <v>0.73399999999999999</v>
      </c>
      <c r="U20">
        <v>0</v>
      </c>
      <c r="V20">
        <v>3.3220999999999998</v>
      </c>
      <c r="W20">
        <v>0.433</v>
      </c>
      <c r="Z20">
        <v>0</v>
      </c>
      <c r="AA20">
        <v>2.7058</v>
      </c>
      <c r="AB20">
        <v>0.14899999999999999</v>
      </c>
    </row>
    <row r="21" spans="1:29" x14ac:dyDescent="0.3">
      <c r="A21">
        <v>10</v>
      </c>
      <c r="F21">
        <v>10</v>
      </c>
      <c r="G21">
        <v>8.1231000000000009</v>
      </c>
      <c r="H21">
        <v>2.4350000000000001</v>
      </c>
      <c r="K21">
        <v>10</v>
      </c>
      <c r="L21">
        <v>7.2442000000000002</v>
      </c>
      <c r="M21">
        <v>2.2040000000000002</v>
      </c>
      <c r="P21">
        <v>10</v>
      </c>
      <c r="Q21">
        <v>6.2884000000000002</v>
      </c>
      <c r="R21">
        <v>1.841</v>
      </c>
      <c r="U21">
        <v>10</v>
      </c>
      <c r="V21">
        <v>5.2896999999999998</v>
      </c>
      <c r="W21">
        <v>1.401</v>
      </c>
      <c r="Z21">
        <v>10</v>
      </c>
      <c r="AA21">
        <v>4.2988999999999997</v>
      </c>
      <c r="AB21">
        <v>0.99299999999999999</v>
      </c>
    </row>
    <row r="22" spans="1:29" x14ac:dyDescent="0.3">
      <c r="A22">
        <v>20</v>
      </c>
      <c r="F22">
        <v>20</v>
      </c>
      <c r="G22">
        <v>14.092000000000001</v>
      </c>
      <c r="H22">
        <v>6.3289999999999997</v>
      </c>
      <c r="I22">
        <v>2.5329999999999999</v>
      </c>
      <c r="K22">
        <v>20</v>
      </c>
      <c r="L22">
        <v>12.6981</v>
      </c>
      <c r="M22">
        <v>5.7190000000000003</v>
      </c>
      <c r="P22">
        <v>20</v>
      </c>
      <c r="Q22">
        <v>10.823</v>
      </c>
      <c r="R22">
        <v>4.8719999999999999</v>
      </c>
      <c r="U22">
        <v>20</v>
      </c>
      <c r="V22">
        <v>9.0132999999999992</v>
      </c>
      <c r="W22">
        <v>3.637</v>
      </c>
      <c r="Z22">
        <v>20</v>
      </c>
      <c r="AA22">
        <v>7.2858000000000001</v>
      </c>
      <c r="AB22">
        <v>2.7589999999999999</v>
      </c>
    </row>
    <row r="23" spans="1:29" x14ac:dyDescent="0.3">
      <c r="A23">
        <v>30</v>
      </c>
      <c r="F23">
        <v>30</v>
      </c>
      <c r="G23">
        <v>24.981000000000002</v>
      </c>
      <c r="H23">
        <v>15.223000000000001</v>
      </c>
      <c r="I23">
        <v>12.926</v>
      </c>
      <c r="K23">
        <v>30</v>
      </c>
      <c r="L23">
        <v>22.489899999999999</v>
      </c>
      <c r="M23">
        <v>14.06</v>
      </c>
      <c r="N23">
        <v>10.462</v>
      </c>
      <c r="P23">
        <v>30</v>
      </c>
      <c r="Q23">
        <v>19.410599999999999</v>
      </c>
      <c r="R23">
        <v>11.539</v>
      </c>
      <c r="S23">
        <v>7.7430000000000003</v>
      </c>
      <c r="U23">
        <v>30</v>
      </c>
      <c r="V23">
        <v>16.519500000000001</v>
      </c>
      <c r="W23">
        <v>9.9130000000000003</v>
      </c>
      <c r="X23">
        <v>3.2791999999999999</v>
      </c>
      <c r="Z23">
        <v>30</v>
      </c>
      <c r="AA23">
        <v>13.555199999999999</v>
      </c>
      <c r="AB23">
        <v>7.9169999999999998</v>
      </c>
    </row>
    <row r="24" spans="1:29" x14ac:dyDescent="0.3">
      <c r="A24">
        <v>40</v>
      </c>
      <c r="F24">
        <v>40</v>
      </c>
      <c r="G24">
        <v>50.735399999999998</v>
      </c>
      <c r="H24">
        <v>45.503999999999998</v>
      </c>
      <c r="I24">
        <v>65.972999999999999</v>
      </c>
      <c r="K24">
        <v>40</v>
      </c>
      <c r="L24">
        <v>45.1143</v>
      </c>
      <c r="M24">
        <v>37.918999999999997</v>
      </c>
      <c r="N24">
        <v>57.098399999999998</v>
      </c>
      <c r="P24">
        <v>40</v>
      </c>
      <c r="Q24">
        <v>37.5428</v>
      </c>
      <c r="R24">
        <v>32.878</v>
      </c>
      <c r="S24">
        <v>41.103000000000002</v>
      </c>
      <c r="U24">
        <v>40</v>
      </c>
      <c r="V24">
        <v>30.831199999999999</v>
      </c>
      <c r="W24">
        <v>26.085000000000001</v>
      </c>
      <c r="X24">
        <v>28.435600000000001</v>
      </c>
      <c r="Z24">
        <v>40</v>
      </c>
      <c r="AA24">
        <v>24.967700000000001</v>
      </c>
      <c r="AB24">
        <v>21.289000000000001</v>
      </c>
      <c r="AC24">
        <v>18.63</v>
      </c>
    </row>
    <row r="26" spans="1:29" x14ac:dyDescent="0.3">
      <c r="A26" t="s">
        <v>8</v>
      </c>
      <c r="B26" t="s">
        <v>5</v>
      </c>
      <c r="F26" t="s">
        <v>8</v>
      </c>
      <c r="G26" t="s">
        <v>5</v>
      </c>
      <c r="K26" t="s">
        <v>8</v>
      </c>
      <c r="L26" t="s">
        <v>5</v>
      </c>
      <c r="M26" t="s">
        <v>13</v>
      </c>
      <c r="P26" t="s">
        <v>8</v>
      </c>
      <c r="Q26" t="s">
        <v>5</v>
      </c>
      <c r="R26" t="s">
        <v>14</v>
      </c>
      <c r="U26" t="s">
        <v>8</v>
      </c>
      <c r="V26" t="s">
        <v>5</v>
      </c>
      <c r="W26" t="s">
        <v>15</v>
      </c>
      <c r="Z26" t="s">
        <v>8</v>
      </c>
      <c r="AA26" t="s">
        <v>5</v>
      </c>
      <c r="AB26" t="s">
        <v>16</v>
      </c>
    </row>
    <row r="27" spans="1:29" x14ac:dyDescent="0.3">
      <c r="A27" t="s">
        <v>1</v>
      </c>
      <c r="B27" t="s">
        <v>2</v>
      </c>
      <c r="C27" t="s">
        <v>3</v>
      </c>
      <c r="D27" t="s">
        <v>4</v>
      </c>
      <c r="F27" t="s">
        <v>1</v>
      </c>
      <c r="G27" t="s">
        <v>2</v>
      </c>
      <c r="H27" t="s">
        <v>3</v>
      </c>
      <c r="I27" t="s">
        <v>4</v>
      </c>
      <c r="K27" t="s">
        <v>1</v>
      </c>
      <c r="L27" t="s">
        <v>2</v>
      </c>
      <c r="M27" t="s">
        <v>3</v>
      </c>
      <c r="N27" t="s">
        <v>4</v>
      </c>
      <c r="P27" t="s">
        <v>1</v>
      </c>
      <c r="Q27" t="s">
        <v>2</v>
      </c>
      <c r="R27" t="s">
        <v>3</v>
      </c>
      <c r="S27" t="s">
        <v>4</v>
      </c>
      <c r="U27" t="s">
        <v>1</v>
      </c>
      <c r="V27" t="s">
        <v>2</v>
      </c>
      <c r="W27" t="s">
        <v>3</v>
      </c>
      <c r="X27" t="s">
        <v>4</v>
      </c>
      <c r="Z27" t="s">
        <v>1</v>
      </c>
      <c r="AA27" t="s">
        <v>2</v>
      </c>
      <c r="AB27" t="s">
        <v>3</v>
      </c>
      <c r="AC27" t="s">
        <v>4</v>
      </c>
    </row>
    <row r="28" spans="1:29" x14ac:dyDescent="0.3">
      <c r="A28">
        <v>0</v>
      </c>
      <c r="F28">
        <v>0</v>
      </c>
      <c r="G28">
        <v>4.9656000000000002</v>
      </c>
      <c r="H28">
        <v>0.99</v>
      </c>
      <c r="K28">
        <v>0</v>
      </c>
      <c r="L28">
        <v>4.4781000000000004</v>
      </c>
      <c r="M28">
        <v>0.89</v>
      </c>
      <c r="P28">
        <v>0</v>
      </c>
      <c r="Q28">
        <v>3.9285999999999999</v>
      </c>
      <c r="R28">
        <v>0.70599999999999996</v>
      </c>
      <c r="U28">
        <v>0</v>
      </c>
      <c r="V28">
        <v>3.3187000000000002</v>
      </c>
      <c r="W28">
        <v>0.44700000000000001</v>
      </c>
      <c r="Z28">
        <v>0</v>
      </c>
      <c r="AA28">
        <v>2.7048999999999999</v>
      </c>
      <c r="AB28">
        <v>0.128</v>
      </c>
    </row>
    <row r="29" spans="1:29" x14ac:dyDescent="0.3">
      <c r="A29">
        <v>10</v>
      </c>
      <c r="F29">
        <v>10</v>
      </c>
      <c r="G29">
        <v>8.1272000000000002</v>
      </c>
      <c r="H29">
        <v>2.4590000000000001</v>
      </c>
      <c r="K29">
        <v>10</v>
      </c>
      <c r="L29">
        <v>7.2531999999999996</v>
      </c>
      <c r="M29">
        <v>2.0590000000000002</v>
      </c>
      <c r="P29">
        <v>10</v>
      </c>
      <c r="Q29">
        <v>6.2904</v>
      </c>
      <c r="R29">
        <v>1.764</v>
      </c>
      <c r="U29">
        <v>10</v>
      </c>
      <c r="V29">
        <v>5.2766999999999999</v>
      </c>
      <c r="W29">
        <v>1.4339999999999999</v>
      </c>
      <c r="Z29">
        <v>10</v>
      </c>
      <c r="AA29">
        <v>4.2977999999999996</v>
      </c>
      <c r="AB29">
        <v>0.99399999999999999</v>
      </c>
    </row>
    <row r="30" spans="1:29" x14ac:dyDescent="0.3">
      <c r="A30">
        <v>20</v>
      </c>
      <c r="F30">
        <v>20</v>
      </c>
      <c r="G30">
        <v>13.3893</v>
      </c>
      <c r="H30">
        <v>5.87</v>
      </c>
      <c r="K30">
        <v>20</v>
      </c>
      <c r="L30">
        <v>12.3688</v>
      </c>
      <c r="M30">
        <v>5.9180000000000001</v>
      </c>
      <c r="P30">
        <v>20</v>
      </c>
      <c r="Q30">
        <v>10.837300000000001</v>
      </c>
      <c r="R30">
        <v>4.7270000000000003</v>
      </c>
      <c r="U30">
        <v>20</v>
      </c>
      <c r="V30">
        <v>9.016</v>
      </c>
      <c r="W30">
        <v>3.766</v>
      </c>
      <c r="Z30">
        <v>20</v>
      </c>
      <c r="AA30">
        <v>7.2762000000000002</v>
      </c>
      <c r="AB30">
        <v>2.79</v>
      </c>
    </row>
    <row r="31" spans="1:29" x14ac:dyDescent="0.3">
      <c r="A31">
        <v>30</v>
      </c>
      <c r="F31">
        <v>30</v>
      </c>
      <c r="G31">
        <v>22.486499999999999</v>
      </c>
      <c r="H31">
        <v>14.255000000000001</v>
      </c>
      <c r="K31">
        <v>30</v>
      </c>
      <c r="L31">
        <v>20.660699999999999</v>
      </c>
      <c r="M31">
        <v>13.417999999999999</v>
      </c>
      <c r="P31">
        <v>30</v>
      </c>
      <c r="Q31">
        <v>18.0349</v>
      </c>
      <c r="R31">
        <v>11.112</v>
      </c>
      <c r="U31">
        <v>30</v>
      </c>
      <c r="V31">
        <v>15.533200000000001</v>
      </c>
      <c r="W31">
        <v>9.4559999999999995</v>
      </c>
      <c r="Z31">
        <v>30</v>
      </c>
      <c r="AA31">
        <v>13.204499999999999</v>
      </c>
      <c r="AB31">
        <v>8.2650000000000006</v>
      </c>
    </row>
    <row r="32" spans="1:29" x14ac:dyDescent="0.3">
      <c r="A32">
        <v>40</v>
      </c>
      <c r="F32">
        <v>40</v>
      </c>
      <c r="G32">
        <v>42.095100000000002</v>
      </c>
      <c r="H32">
        <v>36.665999999999997</v>
      </c>
      <c r="I32">
        <v>59.231999999999999</v>
      </c>
      <c r="K32">
        <v>40</v>
      </c>
      <c r="L32">
        <v>38.633699999999997</v>
      </c>
      <c r="M32">
        <v>30.832999999999998</v>
      </c>
      <c r="N32">
        <v>52.725999999999999</v>
      </c>
      <c r="P32">
        <v>40</v>
      </c>
      <c r="Q32">
        <v>32.505099999999999</v>
      </c>
      <c r="R32">
        <v>27.875</v>
      </c>
      <c r="S32">
        <v>40.093000000000004</v>
      </c>
      <c r="U32">
        <v>40</v>
      </c>
      <c r="V32">
        <v>27.0029</v>
      </c>
      <c r="W32">
        <v>23.728000000000002</v>
      </c>
      <c r="X32">
        <v>28.434999999999999</v>
      </c>
      <c r="Z32">
        <v>40</v>
      </c>
      <c r="AA32">
        <v>22.215699999999998</v>
      </c>
      <c r="AB32">
        <v>17.727</v>
      </c>
      <c r="AC32">
        <v>18.338000000000001</v>
      </c>
    </row>
    <row r="34" spans="1:29" x14ac:dyDescent="0.3">
      <c r="A34" t="s">
        <v>9</v>
      </c>
      <c r="B34" t="s">
        <v>5</v>
      </c>
      <c r="F34" t="s">
        <v>9</v>
      </c>
      <c r="G34" t="s">
        <v>5</v>
      </c>
      <c r="K34" t="s">
        <v>9</v>
      </c>
      <c r="L34" t="s">
        <v>5</v>
      </c>
      <c r="M34" t="s">
        <v>13</v>
      </c>
      <c r="P34" t="s">
        <v>9</v>
      </c>
      <c r="Q34" t="s">
        <v>5</v>
      </c>
      <c r="R34" t="s">
        <v>14</v>
      </c>
      <c r="U34" t="s">
        <v>9</v>
      </c>
      <c r="V34" t="s">
        <v>5</v>
      </c>
      <c r="W34" t="s">
        <v>15</v>
      </c>
      <c r="Z34" t="s">
        <v>9</v>
      </c>
      <c r="AA34" t="s">
        <v>5</v>
      </c>
      <c r="AB34" t="s">
        <v>16</v>
      </c>
    </row>
    <row r="35" spans="1:29" x14ac:dyDescent="0.3">
      <c r="A35" t="s">
        <v>1</v>
      </c>
      <c r="B35" t="s">
        <v>2</v>
      </c>
      <c r="C35" t="s">
        <v>3</v>
      </c>
      <c r="D35" t="s">
        <v>4</v>
      </c>
      <c r="F35" t="s">
        <v>1</v>
      </c>
      <c r="G35" t="s">
        <v>2</v>
      </c>
      <c r="H35" t="s">
        <v>3</v>
      </c>
      <c r="I35" t="s">
        <v>4</v>
      </c>
      <c r="K35" t="s">
        <v>1</v>
      </c>
      <c r="L35" t="s">
        <v>2</v>
      </c>
      <c r="M35" t="s">
        <v>3</v>
      </c>
      <c r="N35" t="s">
        <v>4</v>
      </c>
      <c r="P35" t="s">
        <v>1</v>
      </c>
      <c r="Q35" t="s">
        <v>2</v>
      </c>
      <c r="R35" t="s">
        <v>3</v>
      </c>
      <c r="S35" t="s">
        <v>4</v>
      </c>
      <c r="U35" t="s">
        <v>1</v>
      </c>
      <c r="V35" t="s">
        <v>2</v>
      </c>
      <c r="W35" t="s">
        <v>3</v>
      </c>
      <c r="X35" t="s">
        <v>4</v>
      </c>
      <c r="Z35" t="s">
        <v>1</v>
      </c>
      <c r="AA35" t="s">
        <v>2</v>
      </c>
      <c r="AB35" t="s">
        <v>3</v>
      </c>
      <c r="AC35" t="s">
        <v>4</v>
      </c>
    </row>
    <row r="36" spans="1:29" x14ac:dyDescent="0.3">
      <c r="A36">
        <v>0</v>
      </c>
      <c r="F36">
        <v>0</v>
      </c>
      <c r="G36">
        <v>4.9500999999999999</v>
      </c>
      <c r="H36">
        <v>1.0102</v>
      </c>
      <c r="K36">
        <v>0</v>
      </c>
      <c r="L36">
        <v>4.4866000000000001</v>
      </c>
      <c r="M36">
        <v>0.88200000000000001</v>
      </c>
      <c r="P36">
        <v>0</v>
      </c>
      <c r="Q36">
        <v>3.9209000000000001</v>
      </c>
      <c r="R36">
        <v>0.82399999999999995</v>
      </c>
      <c r="U36">
        <v>0</v>
      </c>
      <c r="V36">
        <v>3.3201000000000001</v>
      </c>
      <c r="W36">
        <v>0.47199999999999998</v>
      </c>
      <c r="Z36">
        <v>0</v>
      </c>
      <c r="AA36">
        <v>2.7012999999999998</v>
      </c>
      <c r="AB36">
        <v>0.16</v>
      </c>
    </row>
    <row r="37" spans="1:29" x14ac:dyDescent="0.3">
      <c r="A37">
        <v>10</v>
      </c>
      <c r="F37">
        <v>10</v>
      </c>
      <c r="G37">
        <v>8.1231000000000009</v>
      </c>
      <c r="H37">
        <v>2.4750000000000001</v>
      </c>
      <c r="K37">
        <v>10</v>
      </c>
      <c r="L37">
        <v>7.2384000000000004</v>
      </c>
      <c r="M37">
        <v>2.15</v>
      </c>
      <c r="P37">
        <v>10</v>
      </c>
      <c r="Q37">
        <v>6.2760999999999996</v>
      </c>
      <c r="R37">
        <v>1.9039999999999999</v>
      </c>
      <c r="U37">
        <v>10</v>
      </c>
      <c r="V37">
        <v>5.2793999999999999</v>
      </c>
      <c r="W37">
        <v>1.387</v>
      </c>
      <c r="Z37">
        <v>10</v>
      </c>
      <c r="AA37">
        <v>4.3093000000000004</v>
      </c>
      <c r="AB37">
        <v>0.78900000000000003</v>
      </c>
    </row>
    <row r="38" spans="1:29" x14ac:dyDescent="0.3">
      <c r="A38">
        <v>20</v>
      </c>
      <c r="F38">
        <v>20</v>
      </c>
      <c r="G38">
        <v>12.5715</v>
      </c>
      <c r="H38">
        <v>5.8609999999999998</v>
      </c>
      <c r="K38">
        <v>20</v>
      </c>
      <c r="L38">
        <v>11.823</v>
      </c>
      <c r="M38">
        <v>5.2359999999999998</v>
      </c>
      <c r="P38">
        <v>20</v>
      </c>
      <c r="Q38">
        <v>10.644299999999999</v>
      </c>
      <c r="R38">
        <v>4.7930000000000001</v>
      </c>
      <c r="U38">
        <v>20</v>
      </c>
      <c r="V38">
        <v>9.0048999999999992</v>
      </c>
      <c r="W38">
        <v>3.5569999999999999</v>
      </c>
      <c r="Z38">
        <v>20</v>
      </c>
      <c r="AA38">
        <v>7.2687999999999997</v>
      </c>
      <c r="AB38">
        <v>2.948</v>
      </c>
    </row>
    <row r="39" spans="1:29" x14ac:dyDescent="0.3">
      <c r="A39">
        <v>30</v>
      </c>
      <c r="F39">
        <v>30</v>
      </c>
      <c r="G39">
        <v>20.097899999999999</v>
      </c>
      <c r="H39">
        <v>12.513</v>
      </c>
      <c r="K39">
        <v>30</v>
      </c>
      <c r="L39">
        <v>18.775600000000001</v>
      </c>
      <c r="M39">
        <v>11.907</v>
      </c>
      <c r="P39">
        <v>30</v>
      </c>
      <c r="Q39">
        <v>16.566500000000001</v>
      </c>
      <c r="R39">
        <v>10.118</v>
      </c>
      <c r="U39">
        <v>30</v>
      </c>
      <c r="V39">
        <v>14.3682</v>
      </c>
      <c r="W39">
        <v>9.1210000000000004</v>
      </c>
      <c r="Z39">
        <v>30</v>
      </c>
      <c r="AA39">
        <v>12.3329</v>
      </c>
      <c r="AB39">
        <v>7.6230000000000002</v>
      </c>
    </row>
    <row r="40" spans="1:29" x14ac:dyDescent="0.3">
      <c r="A40">
        <v>40</v>
      </c>
      <c r="F40">
        <v>40</v>
      </c>
      <c r="G40">
        <v>35.019199999999998</v>
      </c>
      <c r="H40">
        <v>30.687999999999999</v>
      </c>
      <c r="K40">
        <v>40</v>
      </c>
      <c r="L40">
        <v>32.539400000000001</v>
      </c>
      <c r="M40">
        <v>28.454000000000001</v>
      </c>
      <c r="P40">
        <v>40</v>
      </c>
      <c r="Q40">
        <v>27.759399999999999</v>
      </c>
      <c r="R40">
        <v>23.821999999999999</v>
      </c>
      <c r="U40">
        <v>40</v>
      </c>
      <c r="V40">
        <v>23.2804</v>
      </c>
      <c r="W40">
        <v>20.297999999999998</v>
      </c>
      <c r="Z40">
        <v>40</v>
      </c>
      <c r="AA40">
        <v>19.468299999999999</v>
      </c>
      <c r="AB40">
        <v>16.279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AC7C-4DB4-416B-A73D-26FBE9A61BC3}">
  <dimension ref="A1:H501"/>
  <sheetViews>
    <sheetView zoomScale="96" workbookViewId="0">
      <selection activeCell="I12" sqref="I12"/>
    </sheetView>
  </sheetViews>
  <sheetFormatPr defaultRowHeight="14.4" x14ac:dyDescent="0.3"/>
  <cols>
    <col min="3" max="3" width="13.109375" customWidth="1"/>
    <col min="4" max="4" width="13.88671875" customWidth="1"/>
    <col min="5" max="5" width="14.77734375" customWidth="1"/>
    <col min="6" max="6" width="12.33203125" customWidth="1"/>
    <col min="7" max="7" width="14.77734375" customWidth="1"/>
    <col min="8" max="8" width="13.5546875" customWidth="1"/>
    <col min="9" max="9" width="13.21875" customWidth="1"/>
  </cols>
  <sheetData>
    <row r="1" spans="1:8" x14ac:dyDescent="0.3">
      <c r="A1" t="s">
        <v>17</v>
      </c>
      <c r="B1" t="s">
        <v>18</v>
      </c>
      <c r="C1" t="s">
        <v>19</v>
      </c>
      <c r="D1" t="s">
        <v>20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>
        <v>1</v>
      </c>
      <c r="B2">
        <v>0</v>
      </c>
      <c r="C2">
        <v>0</v>
      </c>
      <c r="D2">
        <v>0</v>
      </c>
      <c r="E2">
        <v>0</v>
      </c>
      <c r="F2">
        <v>4.9782999999999999</v>
      </c>
      <c r="G2">
        <v>0.98699999999999999</v>
      </c>
      <c r="H2">
        <v>0</v>
      </c>
    </row>
    <row r="3" spans="1:8" x14ac:dyDescent="0.3">
      <c r="A3">
        <f>A2+1</f>
        <v>2</v>
      </c>
      <c r="B3">
        <v>0</v>
      </c>
      <c r="C3">
        <v>0</v>
      </c>
      <c r="D3">
        <v>0</v>
      </c>
      <c r="E3">
        <v>10</v>
      </c>
      <c r="F3">
        <v>8.14</v>
      </c>
      <c r="G3">
        <v>2.5630000000000002</v>
      </c>
      <c r="H3">
        <v>1.6020000000000001</v>
      </c>
    </row>
    <row r="4" spans="1:8" x14ac:dyDescent="0.3">
      <c r="A4">
        <f>A3+1</f>
        <v>3</v>
      </c>
      <c r="B4">
        <v>0</v>
      </c>
      <c r="C4">
        <v>0</v>
      </c>
      <c r="D4">
        <v>0</v>
      </c>
      <c r="E4">
        <v>20</v>
      </c>
      <c r="F4">
        <v>14.552300000000001</v>
      </c>
      <c r="G4">
        <f>152-145.523</f>
        <v>6.4770000000000039</v>
      </c>
      <c r="H4">
        <v>2.9350000000000001</v>
      </c>
    </row>
    <row r="5" spans="1:8" x14ac:dyDescent="0.3">
      <c r="A5">
        <f t="shared" ref="A5:A68" si="0">A4+1</f>
        <v>4</v>
      </c>
      <c r="B5">
        <v>0</v>
      </c>
      <c r="C5">
        <v>0</v>
      </c>
      <c r="D5">
        <v>0</v>
      </c>
      <c r="E5">
        <v>30</v>
      </c>
      <c r="F5">
        <v>29.528400000000001</v>
      </c>
      <c r="G5">
        <f>313.498-295.284</f>
        <v>18.213999999999999</v>
      </c>
      <c r="H5">
        <v>14.13</v>
      </c>
    </row>
    <row r="6" spans="1:8" x14ac:dyDescent="0.3">
      <c r="A6">
        <f t="shared" si="0"/>
        <v>5</v>
      </c>
      <c r="B6">
        <v>0</v>
      </c>
      <c r="C6">
        <v>0</v>
      </c>
      <c r="D6">
        <v>0</v>
      </c>
      <c r="E6">
        <v>40</v>
      </c>
      <c r="F6">
        <v>73.069100000000006</v>
      </c>
      <c r="G6">
        <f>792.423-730.691</f>
        <v>61.731999999999971</v>
      </c>
      <c r="H6">
        <v>80.325999999999993</v>
      </c>
    </row>
    <row r="7" spans="1:8" x14ac:dyDescent="0.3">
      <c r="A7">
        <f t="shared" si="0"/>
        <v>6</v>
      </c>
      <c r="B7">
        <v>0</v>
      </c>
      <c r="C7">
        <v>0</v>
      </c>
      <c r="D7">
        <v>5</v>
      </c>
      <c r="E7">
        <v>0</v>
      </c>
      <c r="F7">
        <v>4.4984000000000002</v>
      </c>
      <c r="G7">
        <v>0.88900000000000001</v>
      </c>
      <c r="H7">
        <v>0</v>
      </c>
    </row>
    <row r="8" spans="1:8" x14ac:dyDescent="0.3">
      <c r="A8">
        <f t="shared" si="0"/>
        <v>7</v>
      </c>
      <c r="B8">
        <v>0</v>
      </c>
      <c r="C8">
        <v>0</v>
      </c>
      <c r="D8">
        <v>5</v>
      </c>
      <c r="E8">
        <v>10</v>
      </c>
      <c r="F8">
        <v>7.2698999999999998</v>
      </c>
      <c r="G8">
        <v>2.173</v>
      </c>
      <c r="H8">
        <v>0</v>
      </c>
    </row>
    <row r="9" spans="1:8" x14ac:dyDescent="0.3">
      <c r="A9">
        <f t="shared" si="0"/>
        <v>8</v>
      </c>
      <c r="B9">
        <v>0</v>
      </c>
      <c r="C9">
        <v>0</v>
      </c>
      <c r="D9">
        <v>5</v>
      </c>
      <c r="E9">
        <v>20</v>
      </c>
      <c r="F9">
        <v>12.763299999999999</v>
      </c>
      <c r="G9">
        <v>5.6459999999999999</v>
      </c>
      <c r="H9">
        <v>2.113</v>
      </c>
    </row>
    <row r="10" spans="1:8" x14ac:dyDescent="0.3">
      <c r="A10">
        <f t="shared" si="0"/>
        <v>9</v>
      </c>
      <c r="B10">
        <v>0</v>
      </c>
      <c r="C10">
        <v>0</v>
      </c>
      <c r="D10">
        <v>5</v>
      </c>
      <c r="E10">
        <v>30</v>
      </c>
      <c r="F10">
        <v>25.369299999999999</v>
      </c>
      <c r="G10">
        <v>15.584</v>
      </c>
      <c r="H10">
        <v>11.057600000000001</v>
      </c>
    </row>
    <row r="11" spans="1:8" x14ac:dyDescent="0.3">
      <c r="A11">
        <f t="shared" si="0"/>
        <v>10</v>
      </c>
      <c r="B11">
        <v>0</v>
      </c>
      <c r="C11">
        <v>0</v>
      </c>
      <c r="D11">
        <v>5</v>
      </c>
      <c r="E11">
        <v>40</v>
      </c>
      <c r="F11">
        <v>61.029000000000003</v>
      </c>
      <c r="G11">
        <v>52.65</v>
      </c>
      <c r="H11">
        <v>61.658000000000001</v>
      </c>
    </row>
    <row r="12" spans="1:8" x14ac:dyDescent="0.3">
      <c r="A12">
        <f t="shared" si="0"/>
        <v>11</v>
      </c>
      <c r="B12">
        <v>0</v>
      </c>
      <c r="C12">
        <v>0</v>
      </c>
      <c r="D12">
        <v>10</v>
      </c>
      <c r="E12">
        <v>0</v>
      </c>
      <c r="F12">
        <v>3.9363000000000001</v>
      </c>
      <c r="G12">
        <v>0.70899999999999996</v>
      </c>
      <c r="H12">
        <v>0</v>
      </c>
    </row>
    <row r="13" spans="1:8" x14ac:dyDescent="0.3">
      <c r="A13">
        <f t="shared" si="0"/>
        <v>12</v>
      </c>
      <c r="B13">
        <v>0</v>
      </c>
      <c r="C13">
        <v>0</v>
      </c>
      <c r="D13">
        <v>10</v>
      </c>
      <c r="E13">
        <v>10</v>
      </c>
      <c r="F13">
        <v>6.3010999999999999</v>
      </c>
      <c r="G13">
        <v>1.8109999999999999</v>
      </c>
      <c r="H13">
        <v>0</v>
      </c>
    </row>
    <row r="14" spans="1:8" x14ac:dyDescent="0.3">
      <c r="A14">
        <f t="shared" si="0"/>
        <v>13</v>
      </c>
      <c r="B14">
        <v>0</v>
      </c>
      <c r="C14">
        <v>0</v>
      </c>
      <c r="D14">
        <v>10</v>
      </c>
      <c r="E14">
        <v>20</v>
      </c>
      <c r="F14">
        <v>10.8926</v>
      </c>
      <c r="G14">
        <v>4.6130000000000004</v>
      </c>
      <c r="H14">
        <v>0</v>
      </c>
    </row>
    <row r="15" spans="1:8" x14ac:dyDescent="0.3">
      <c r="A15">
        <f t="shared" si="0"/>
        <v>14</v>
      </c>
      <c r="B15">
        <v>0</v>
      </c>
      <c r="C15">
        <v>0</v>
      </c>
      <c r="D15">
        <v>10</v>
      </c>
      <c r="E15">
        <v>30</v>
      </c>
      <c r="F15">
        <v>21.150099999999998</v>
      </c>
      <c r="G15">
        <v>12.76</v>
      </c>
      <c r="H15">
        <v>8.1950000000000003</v>
      </c>
    </row>
    <row r="16" spans="1:8" x14ac:dyDescent="0.3">
      <c r="A16">
        <f t="shared" si="0"/>
        <v>15</v>
      </c>
      <c r="B16">
        <v>0</v>
      </c>
      <c r="C16">
        <v>0</v>
      </c>
      <c r="D16">
        <v>10</v>
      </c>
      <c r="E16">
        <v>40</v>
      </c>
      <c r="F16">
        <v>49.336599999999997</v>
      </c>
      <c r="G16">
        <v>41.927999999999997</v>
      </c>
      <c r="H16">
        <v>44.015999999999998</v>
      </c>
    </row>
    <row r="17" spans="1:8" x14ac:dyDescent="0.3">
      <c r="A17">
        <f t="shared" si="0"/>
        <v>16</v>
      </c>
      <c r="B17">
        <v>0</v>
      </c>
      <c r="C17">
        <v>0</v>
      </c>
      <c r="D17">
        <v>15</v>
      </c>
      <c r="E17">
        <v>0</v>
      </c>
      <c r="F17">
        <v>3.3281999999999998</v>
      </c>
      <c r="G17">
        <v>0.48399999999999999</v>
      </c>
      <c r="H17">
        <v>0</v>
      </c>
    </row>
    <row r="18" spans="1:8" x14ac:dyDescent="0.3">
      <c r="A18">
        <f t="shared" si="0"/>
        <v>17</v>
      </c>
      <c r="B18">
        <v>0</v>
      </c>
      <c r="C18">
        <v>0</v>
      </c>
      <c r="D18">
        <v>15</v>
      </c>
      <c r="E18">
        <v>10</v>
      </c>
      <c r="F18">
        <v>5.2998000000000003</v>
      </c>
      <c r="G18">
        <v>1.387</v>
      </c>
      <c r="H18">
        <v>0</v>
      </c>
    </row>
    <row r="19" spans="1:8" x14ac:dyDescent="0.3">
      <c r="A19">
        <f t="shared" si="0"/>
        <v>18</v>
      </c>
      <c r="B19">
        <v>0</v>
      </c>
      <c r="C19">
        <v>0</v>
      </c>
      <c r="D19">
        <v>15</v>
      </c>
      <c r="E19">
        <v>20</v>
      </c>
      <c r="F19">
        <v>9.0496999999999996</v>
      </c>
      <c r="G19">
        <v>3.7749999999999999</v>
      </c>
      <c r="H19">
        <v>0</v>
      </c>
    </row>
    <row r="20" spans="1:8" x14ac:dyDescent="0.3">
      <c r="A20">
        <f t="shared" si="0"/>
        <v>19</v>
      </c>
      <c r="B20">
        <v>0</v>
      </c>
      <c r="C20">
        <v>0</v>
      </c>
      <c r="D20">
        <v>15</v>
      </c>
      <c r="E20">
        <v>30</v>
      </c>
      <c r="F20">
        <v>17.226099999999999</v>
      </c>
      <c r="G20">
        <v>10.308999999999999</v>
      </c>
      <c r="H20">
        <v>5.6459999999999999</v>
      </c>
    </row>
    <row r="21" spans="1:8" x14ac:dyDescent="0.3">
      <c r="A21">
        <f t="shared" si="0"/>
        <v>20</v>
      </c>
      <c r="B21">
        <v>0</v>
      </c>
      <c r="C21">
        <v>0</v>
      </c>
      <c r="D21">
        <v>15</v>
      </c>
      <c r="E21">
        <v>40</v>
      </c>
      <c r="F21">
        <v>38.8919</v>
      </c>
      <c r="G21">
        <v>33.006</v>
      </c>
      <c r="H21">
        <v>30.029699999999998</v>
      </c>
    </row>
    <row r="22" spans="1:8" x14ac:dyDescent="0.3">
      <c r="A22">
        <f t="shared" si="0"/>
        <v>21</v>
      </c>
      <c r="B22">
        <v>0</v>
      </c>
      <c r="C22">
        <v>0</v>
      </c>
      <c r="D22">
        <v>20</v>
      </c>
      <c r="E22">
        <v>0</v>
      </c>
      <c r="F22">
        <v>2.7081</v>
      </c>
      <c r="G22">
        <v>0.187</v>
      </c>
      <c r="H22">
        <v>0</v>
      </c>
    </row>
    <row r="23" spans="1:8" x14ac:dyDescent="0.3">
      <c r="A23">
        <f t="shared" si="0"/>
        <v>22</v>
      </c>
      <c r="B23">
        <v>0</v>
      </c>
      <c r="C23">
        <v>0</v>
      </c>
      <c r="D23">
        <v>20</v>
      </c>
      <c r="E23">
        <v>10</v>
      </c>
      <c r="F23">
        <v>4.3150000000000004</v>
      </c>
      <c r="G23">
        <v>0.96699999999999997</v>
      </c>
      <c r="H23">
        <v>0</v>
      </c>
    </row>
    <row r="24" spans="1:8" x14ac:dyDescent="0.3">
      <c r="A24">
        <f t="shared" si="0"/>
        <v>23</v>
      </c>
      <c r="B24">
        <v>0</v>
      </c>
      <c r="C24">
        <v>0</v>
      </c>
      <c r="D24">
        <v>20</v>
      </c>
      <c r="E24">
        <v>20</v>
      </c>
      <c r="F24">
        <v>7.3061999999999996</v>
      </c>
      <c r="G24">
        <v>2.85</v>
      </c>
      <c r="H24">
        <v>0</v>
      </c>
    </row>
    <row r="25" spans="1:8" x14ac:dyDescent="0.3">
      <c r="A25">
        <f t="shared" si="0"/>
        <v>24</v>
      </c>
      <c r="B25">
        <v>0</v>
      </c>
      <c r="C25">
        <v>0</v>
      </c>
      <c r="D25">
        <v>20</v>
      </c>
      <c r="E25">
        <v>30</v>
      </c>
      <c r="F25">
        <v>13.6746</v>
      </c>
      <c r="G25">
        <v>8.0679999999999996</v>
      </c>
      <c r="H25">
        <v>1.9970000000000001</v>
      </c>
    </row>
    <row r="26" spans="1:8" x14ac:dyDescent="0.3">
      <c r="A26">
        <f t="shared" si="0"/>
        <v>25</v>
      </c>
      <c r="B26">
        <v>0</v>
      </c>
      <c r="C26">
        <v>0</v>
      </c>
      <c r="D26">
        <v>20</v>
      </c>
      <c r="E26">
        <v>40</v>
      </c>
      <c r="F26">
        <v>30.049600000000002</v>
      </c>
      <c r="G26">
        <v>25.094999999999999</v>
      </c>
      <c r="H26">
        <v>19.405000000000001</v>
      </c>
    </row>
    <row r="27" spans="1:8" x14ac:dyDescent="0.3">
      <c r="A27">
        <f t="shared" si="0"/>
        <v>26</v>
      </c>
      <c r="B27">
        <v>0</v>
      </c>
      <c r="C27">
        <v>10</v>
      </c>
      <c r="D27">
        <v>0</v>
      </c>
      <c r="E27">
        <v>0</v>
      </c>
      <c r="F27">
        <v>4.6284999999999998</v>
      </c>
      <c r="G27">
        <v>1.0069999999999999</v>
      </c>
      <c r="H27">
        <v>0</v>
      </c>
    </row>
    <row r="28" spans="1:8" x14ac:dyDescent="0.3">
      <c r="A28">
        <f t="shared" si="0"/>
        <v>27</v>
      </c>
      <c r="B28">
        <v>0</v>
      </c>
      <c r="C28">
        <v>10</v>
      </c>
      <c r="D28">
        <v>0</v>
      </c>
      <c r="E28">
        <v>10</v>
      </c>
      <c r="F28">
        <v>7.3047000000000004</v>
      </c>
      <c r="G28">
        <v>2.4729999999999999</v>
      </c>
      <c r="H28">
        <v>5.2499999999999998E-2</v>
      </c>
    </row>
    <row r="29" spans="1:8" x14ac:dyDescent="0.3">
      <c r="A29">
        <f t="shared" si="0"/>
        <v>28</v>
      </c>
      <c r="B29">
        <v>0</v>
      </c>
      <c r="C29">
        <v>10</v>
      </c>
      <c r="D29">
        <v>0</v>
      </c>
      <c r="E29">
        <v>20</v>
      </c>
      <c r="F29">
        <v>12.4849</v>
      </c>
      <c r="G29">
        <v>5.5720000000000001</v>
      </c>
      <c r="H29">
        <v>2.0840000000000001</v>
      </c>
    </row>
    <row r="30" spans="1:8" x14ac:dyDescent="0.3">
      <c r="A30">
        <f t="shared" si="0"/>
        <v>29</v>
      </c>
      <c r="B30">
        <v>0</v>
      </c>
      <c r="C30">
        <v>10</v>
      </c>
      <c r="D30">
        <v>0</v>
      </c>
      <c r="E30">
        <v>30</v>
      </c>
      <c r="F30">
        <v>23.842700000000001</v>
      </c>
      <c r="G30">
        <v>14.878</v>
      </c>
      <c r="H30">
        <v>9.2560000000000002</v>
      </c>
    </row>
    <row r="31" spans="1:8" x14ac:dyDescent="0.3">
      <c r="A31">
        <f t="shared" si="0"/>
        <v>30</v>
      </c>
      <c r="B31">
        <v>0</v>
      </c>
      <c r="C31">
        <v>10</v>
      </c>
      <c r="D31">
        <v>0</v>
      </c>
      <c r="E31">
        <v>40</v>
      </c>
      <c r="F31">
        <v>57.225099999999998</v>
      </c>
      <c r="G31">
        <v>50.930999999999997</v>
      </c>
      <c r="H31">
        <v>48.234000000000002</v>
      </c>
    </row>
    <row r="32" spans="1:8" x14ac:dyDescent="0.3">
      <c r="A32">
        <f t="shared" si="0"/>
        <v>31</v>
      </c>
      <c r="B32">
        <v>0</v>
      </c>
      <c r="C32">
        <v>10</v>
      </c>
      <c r="D32">
        <v>5</v>
      </c>
      <c r="E32">
        <v>0</v>
      </c>
      <c r="F32">
        <v>4.1874000000000002</v>
      </c>
      <c r="G32">
        <v>0.873</v>
      </c>
      <c r="H32">
        <v>0</v>
      </c>
    </row>
    <row r="33" spans="1:8" x14ac:dyDescent="0.3">
      <c r="A33">
        <f t="shared" si="0"/>
        <v>32</v>
      </c>
      <c r="B33">
        <v>0</v>
      </c>
      <c r="C33">
        <v>10</v>
      </c>
      <c r="D33">
        <v>5</v>
      </c>
      <c r="E33">
        <v>10</v>
      </c>
      <c r="F33">
        <v>6.5338000000000003</v>
      </c>
      <c r="G33">
        <v>2.0179999999999998</v>
      </c>
      <c r="H33">
        <v>0</v>
      </c>
    </row>
    <row r="34" spans="1:8" x14ac:dyDescent="0.3">
      <c r="A34">
        <f t="shared" si="0"/>
        <v>33</v>
      </c>
      <c r="B34">
        <v>0</v>
      </c>
      <c r="C34">
        <v>10</v>
      </c>
      <c r="D34">
        <v>5</v>
      </c>
      <c r="E34">
        <v>20</v>
      </c>
      <c r="F34">
        <v>10.943199999999999</v>
      </c>
      <c r="G34">
        <v>4.7990000000000004</v>
      </c>
      <c r="H34">
        <v>0</v>
      </c>
    </row>
    <row r="35" spans="1:8" x14ac:dyDescent="0.3">
      <c r="A35">
        <f t="shared" si="0"/>
        <v>34</v>
      </c>
      <c r="B35">
        <v>0</v>
      </c>
      <c r="C35">
        <v>10</v>
      </c>
      <c r="D35">
        <v>5</v>
      </c>
      <c r="E35">
        <v>30</v>
      </c>
      <c r="F35">
        <v>20.409099999999999</v>
      </c>
      <c r="G35">
        <v>12.582000000000001</v>
      </c>
      <c r="H35">
        <v>7.2869999999999999</v>
      </c>
    </row>
    <row r="36" spans="1:8" x14ac:dyDescent="0.3">
      <c r="A36">
        <f t="shared" si="0"/>
        <v>35</v>
      </c>
      <c r="B36">
        <v>0</v>
      </c>
      <c r="C36">
        <v>10</v>
      </c>
      <c r="D36">
        <v>5</v>
      </c>
      <c r="E36">
        <v>40</v>
      </c>
      <c r="F36">
        <v>46.089799999999997</v>
      </c>
      <c r="G36">
        <v>39.393999999999998</v>
      </c>
      <c r="H36">
        <v>36.338000000000001</v>
      </c>
    </row>
    <row r="37" spans="1:8" x14ac:dyDescent="0.3">
      <c r="A37">
        <f t="shared" si="0"/>
        <v>36</v>
      </c>
      <c r="B37">
        <v>0</v>
      </c>
      <c r="C37">
        <v>10</v>
      </c>
      <c r="D37">
        <v>10</v>
      </c>
      <c r="E37">
        <v>0</v>
      </c>
      <c r="F37">
        <v>3.6869999999999998</v>
      </c>
      <c r="G37">
        <v>0.70499999999999996</v>
      </c>
      <c r="H37">
        <v>0</v>
      </c>
    </row>
    <row r="38" spans="1:8" x14ac:dyDescent="0.3">
      <c r="A38">
        <f t="shared" si="0"/>
        <v>37</v>
      </c>
      <c r="B38">
        <v>0</v>
      </c>
      <c r="C38">
        <v>10</v>
      </c>
      <c r="D38">
        <v>10</v>
      </c>
      <c r="E38">
        <v>10</v>
      </c>
      <c r="F38">
        <v>5.6833999999999998</v>
      </c>
      <c r="G38">
        <v>1.736</v>
      </c>
      <c r="H38">
        <v>0</v>
      </c>
    </row>
    <row r="39" spans="1:8" x14ac:dyDescent="0.3">
      <c r="A39">
        <f t="shared" si="0"/>
        <v>38</v>
      </c>
      <c r="B39">
        <v>0</v>
      </c>
      <c r="C39">
        <v>10</v>
      </c>
      <c r="D39">
        <v>10</v>
      </c>
      <c r="E39">
        <v>20</v>
      </c>
      <c r="F39">
        <v>9.3582000000000001</v>
      </c>
      <c r="G39">
        <v>4.0970000000000004</v>
      </c>
      <c r="H39">
        <v>0</v>
      </c>
    </row>
    <row r="40" spans="1:8" x14ac:dyDescent="0.3">
      <c r="A40">
        <f t="shared" si="0"/>
        <v>39</v>
      </c>
      <c r="B40">
        <v>0</v>
      </c>
      <c r="C40">
        <v>10</v>
      </c>
      <c r="D40">
        <v>10</v>
      </c>
      <c r="E40">
        <v>30</v>
      </c>
      <c r="F40">
        <v>17.048400000000001</v>
      </c>
      <c r="G40">
        <v>10.567</v>
      </c>
      <c r="H40">
        <v>5.4020000000000001</v>
      </c>
    </row>
    <row r="41" spans="1:8" x14ac:dyDescent="0.3">
      <c r="A41">
        <f t="shared" si="0"/>
        <v>40</v>
      </c>
      <c r="B41">
        <v>0</v>
      </c>
      <c r="C41">
        <v>10</v>
      </c>
      <c r="D41">
        <v>10</v>
      </c>
      <c r="E41">
        <v>40</v>
      </c>
      <c r="F41">
        <v>36.545999999999999</v>
      </c>
      <c r="G41">
        <v>30.661999999999999</v>
      </c>
      <c r="H41">
        <v>26.213000000000001</v>
      </c>
    </row>
    <row r="42" spans="1:8" x14ac:dyDescent="0.3">
      <c r="A42">
        <f t="shared" si="0"/>
        <v>41</v>
      </c>
      <c r="B42">
        <v>0</v>
      </c>
      <c r="C42">
        <v>10</v>
      </c>
      <c r="D42">
        <v>15</v>
      </c>
      <c r="E42">
        <v>0</v>
      </c>
      <c r="F42">
        <v>3.1509999999999998</v>
      </c>
      <c r="G42">
        <v>0.49399999999999999</v>
      </c>
      <c r="H42">
        <v>0</v>
      </c>
    </row>
    <row r="43" spans="1:8" x14ac:dyDescent="0.3">
      <c r="A43">
        <f t="shared" si="0"/>
        <v>42</v>
      </c>
      <c r="B43">
        <v>0</v>
      </c>
      <c r="C43">
        <v>10</v>
      </c>
      <c r="D43">
        <v>15</v>
      </c>
      <c r="E43">
        <v>10</v>
      </c>
      <c r="F43">
        <v>4.8102999999999998</v>
      </c>
      <c r="G43">
        <v>1.337</v>
      </c>
      <c r="H43">
        <v>0</v>
      </c>
    </row>
    <row r="44" spans="1:8" x14ac:dyDescent="0.3">
      <c r="A44">
        <f t="shared" si="0"/>
        <v>43</v>
      </c>
      <c r="B44">
        <v>0</v>
      </c>
      <c r="C44">
        <v>10</v>
      </c>
      <c r="D44">
        <v>15</v>
      </c>
      <c r="E44">
        <v>20</v>
      </c>
      <c r="F44">
        <v>7.8009000000000004</v>
      </c>
      <c r="G44">
        <v>3.3</v>
      </c>
      <c r="H44">
        <v>0</v>
      </c>
    </row>
    <row r="45" spans="1:8" x14ac:dyDescent="0.3">
      <c r="A45">
        <f t="shared" si="0"/>
        <v>44</v>
      </c>
      <c r="B45">
        <v>0</v>
      </c>
      <c r="C45">
        <v>10</v>
      </c>
      <c r="D45">
        <v>15</v>
      </c>
      <c r="E45">
        <v>30</v>
      </c>
      <c r="F45">
        <v>13.8924</v>
      </c>
      <c r="G45">
        <v>8.4380000000000006</v>
      </c>
      <c r="H45">
        <v>1.6034999999999999</v>
      </c>
    </row>
    <row r="46" spans="1:8" x14ac:dyDescent="0.3">
      <c r="A46">
        <f t="shared" si="0"/>
        <v>45</v>
      </c>
      <c r="B46">
        <v>0</v>
      </c>
      <c r="C46">
        <v>10</v>
      </c>
      <c r="D46">
        <v>15</v>
      </c>
      <c r="E46">
        <v>40</v>
      </c>
      <c r="F46">
        <v>28.717400000000001</v>
      </c>
      <c r="G46">
        <v>24.949000000000002</v>
      </c>
      <c r="H46">
        <v>17.843499999999999</v>
      </c>
    </row>
    <row r="47" spans="1:8" x14ac:dyDescent="0.3">
      <c r="A47">
        <f t="shared" si="0"/>
        <v>46</v>
      </c>
      <c r="B47">
        <v>0</v>
      </c>
      <c r="C47">
        <v>10</v>
      </c>
      <c r="D47">
        <v>20</v>
      </c>
      <c r="E47">
        <v>0</v>
      </c>
      <c r="F47">
        <v>2.6334</v>
      </c>
      <c r="G47">
        <v>0.27400000000000002</v>
      </c>
      <c r="H47">
        <v>0</v>
      </c>
    </row>
    <row r="48" spans="1:8" x14ac:dyDescent="0.3">
      <c r="A48">
        <f t="shared" si="0"/>
        <v>47</v>
      </c>
      <c r="B48">
        <v>0</v>
      </c>
      <c r="C48">
        <v>10</v>
      </c>
      <c r="D48">
        <v>20</v>
      </c>
      <c r="E48">
        <v>10</v>
      </c>
      <c r="F48">
        <v>3.9861</v>
      </c>
      <c r="G48">
        <v>0.95499999999999996</v>
      </c>
      <c r="H48">
        <v>0</v>
      </c>
    </row>
    <row r="49" spans="1:8" x14ac:dyDescent="0.3">
      <c r="A49">
        <f t="shared" si="0"/>
        <v>48</v>
      </c>
      <c r="B49">
        <v>0</v>
      </c>
      <c r="C49">
        <v>10</v>
      </c>
      <c r="D49">
        <v>20</v>
      </c>
      <c r="E49">
        <v>20</v>
      </c>
      <c r="F49">
        <v>6.3766999999999996</v>
      </c>
      <c r="G49">
        <v>2.5459999999999998</v>
      </c>
      <c r="H49">
        <v>0</v>
      </c>
    </row>
    <row r="50" spans="1:8" x14ac:dyDescent="0.3">
      <c r="A50">
        <f t="shared" si="0"/>
        <v>49</v>
      </c>
      <c r="B50">
        <v>0</v>
      </c>
      <c r="C50">
        <v>10</v>
      </c>
      <c r="D50">
        <v>20</v>
      </c>
      <c r="E50">
        <v>30</v>
      </c>
      <c r="F50">
        <v>11.1264</v>
      </c>
      <c r="G50">
        <v>6.58</v>
      </c>
      <c r="H50">
        <v>0.88911111111111096</v>
      </c>
    </row>
    <row r="51" spans="1:8" x14ac:dyDescent="0.3">
      <c r="A51">
        <f t="shared" si="0"/>
        <v>50</v>
      </c>
      <c r="B51">
        <v>0</v>
      </c>
      <c r="C51">
        <v>10</v>
      </c>
      <c r="D51">
        <v>20</v>
      </c>
      <c r="E51">
        <v>40</v>
      </c>
      <c r="F51">
        <v>22.330200000000001</v>
      </c>
      <c r="G51">
        <v>18.620999999999999</v>
      </c>
      <c r="H51">
        <v>11.5998</v>
      </c>
    </row>
    <row r="52" spans="1:8" x14ac:dyDescent="0.3">
      <c r="A52">
        <f t="shared" si="0"/>
        <v>51</v>
      </c>
      <c r="B52">
        <v>0</v>
      </c>
      <c r="C52">
        <v>20</v>
      </c>
      <c r="D52">
        <v>0</v>
      </c>
      <c r="E52">
        <v>0</v>
      </c>
      <c r="F52">
        <v>4.2808999999999999</v>
      </c>
      <c r="G52">
        <v>0.999</v>
      </c>
      <c r="H52">
        <v>0</v>
      </c>
    </row>
    <row r="53" spans="1:8" x14ac:dyDescent="0.3">
      <c r="A53">
        <f t="shared" si="0"/>
        <v>52</v>
      </c>
      <c r="B53">
        <v>0</v>
      </c>
      <c r="C53">
        <v>20</v>
      </c>
      <c r="D53">
        <v>0</v>
      </c>
      <c r="E53">
        <v>10</v>
      </c>
      <c r="F53">
        <v>6.5370999999999997</v>
      </c>
      <c r="G53">
        <v>2.1840000000000002</v>
      </c>
      <c r="H53">
        <v>0</v>
      </c>
    </row>
    <row r="54" spans="1:8" x14ac:dyDescent="0.3">
      <c r="A54">
        <f t="shared" si="0"/>
        <v>53</v>
      </c>
      <c r="B54">
        <v>0</v>
      </c>
      <c r="C54">
        <v>20</v>
      </c>
      <c r="D54">
        <v>0</v>
      </c>
      <c r="E54">
        <v>20</v>
      </c>
      <c r="F54">
        <v>10.642099999999999</v>
      </c>
      <c r="G54">
        <v>5.0339999999999998</v>
      </c>
      <c r="H54">
        <v>0.33779999999999999</v>
      </c>
    </row>
    <row r="55" spans="1:8" x14ac:dyDescent="0.3">
      <c r="A55">
        <f t="shared" si="0"/>
        <v>54</v>
      </c>
      <c r="B55">
        <v>0</v>
      </c>
      <c r="C55">
        <v>20</v>
      </c>
      <c r="D55">
        <v>0</v>
      </c>
      <c r="E55">
        <v>30</v>
      </c>
      <c r="F55">
        <v>19.2028</v>
      </c>
      <c r="G55">
        <v>11.863</v>
      </c>
      <c r="H55">
        <v>5.4261499999999998</v>
      </c>
    </row>
    <row r="56" spans="1:8" x14ac:dyDescent="0.3">
      <c r="A56">
        <f t="shared" si="0"/>
        <v>55</v>
      </c>
      <c r="B56">
        <v>0</v>
      </c>
      <c r="C56">
        <v>20</v>
      </c>
      <c r="D56">
        <v>0</v>
      </c>
      <c r="E56">
        <v>40</v>
      </c>
      <c r="F56">
        <v>40.983899999999998</v>
      </c>
      <c r="G56">
        <v>35.49</v>
      </c>
      <c r="H56">
        <v>26.9085</v>
      </c>
    </row>
    <row r="57" spans="1:8" x14ac:dyDescent="0.3">
      <c r="A57">
        <f t="shared" si="0"/>
        <v>56</v>
      </c>
      <c r="B57">
        <v>0</v>
      </c>
      <c r="C57">
        <v>20</v>
      </c>
      <c r="D57">
        <v>5</v>
      </c>
      <c r="E57">
        <v>0</v>
      </c>
      <c r="F57">
        <v>3.8803000000000001</v>
      </c>
      <c r="G57">
        <v>0.88100000000000001</v>
      </c>
      <c r="H57">
        <v>0</v>
      </c>
    </row>
    <row r="58" spans="1:8" x14ac:dyDescent="0.3">
      <c r="A58">
        <f t="shared" si="0"/>
        <v>57</v>
      </c>
      <c r="B58">
        <v>0</v>
      </c>
      <c r="C58">
        <v>20</v>
      </c>
      <c r="D58">
        <v>5</v>
      </c>
      <c r="E58">
        <v>10</v>
      </c>
      <c r="F58">
        <v>5.8428000000000004</v>
      </c>
      <c r="G58">
        <v>1.8979999999999999</v>
      </c>
      <c r="H58">
        <v>0</v>
      </c>
    </row>
    <row r="59" spans="1:8" x14ac:dyDescent="0.3">
      <c r="A59">
        <f t="shared" si="0"/>
        <v>58</v>
      </c>
      <c r="B59">
        <v>0</v>
      </c>
      <c r="C59">
        <v>20</v>
      </c>
      <c r="D59">
        <v>5</v>
      </c>
      <c r="E59">
        <v>20</v>
      </c>
      <c r="F59">
        <v>9.3533000000000008</v>
      </c>
      <c r="G59">
        <v>4.2859999999999996</v>
      </c>
      <c r="H59">
        <v>0</v>
      </c>
    </row>
    <row r="60" spans="1:8" x14ac:dyDescent="0.3">
      <c r="A60">
        <f t="shared" si="0"/>
        <v>59</v>
      </c>
      <c r="B60">
        <v>0</v>
      </c>
      <c r="C60">
        <v>20</v>
      </c>
      <c r="D60">
        <v>5</v>
      </c>
      <c r="E60">
        <v>30</v>
      </c>
      <c r="F60">
        <v>16.423400000000001</v>
      </c>
      <c r="G60">
        <v>10.346</v>
      </c>
      <c r="H60">
        <v>4.2969999999999997</v>
      </c>
    </row>
    <row r="61" spans="1:8" x14ac:dyDescent="0.3">
      <c r="A61">
        <f t="shared" si="0"/>
        <v>60</v>
      </c>
      <c r="B61">
        <v>0</v>
      </c>
      <c r="C61">
        <v>20</v>
      </c>
      <c r="D61">
        <v>5</v>
      </c>
      <c r="E61">
        <v>40</v>
      </c>
      <c r="F61">
        <v>33.445500000000003</v>
      </c>
      <c r="G61">
        <v>29.286000000000001</v>
      </c>
      <c r="H61">
        <v>20.513999999999999</v>
      </c>
    </row>
    <row r="62" spans="1:8" x14ac:dyDescent="0.3">
      <c r="A62">
        <f t="shared" si="0"/>
        <v>61</v>
      </c>
      <c r="B62">
        <v>0</v>
      </c>
      <c r="C62">
        <v>20</v>
      </c>
      <c r="D62">
        <v>10</v>
      </c>
      <c r="E62">
        <v>0</v>
      </c>
      <c r="F62">
        <v>3.4340000000000002</v>
      </c>
      <c r="G62">
        <v>0.74</v>
      </c>
      <c r="H62">
        <v>0</v>
      </c>
    </row>
    <row r="63" spans="1:8" x14ac:dyDescent="0.3">
      <c r="A63">
        <f t="shared" si="0"/>
        <v>62</v>
      </c>
      <c r="B63">
        <v>0</v>
      </c>
      <c r="C63">
        <v>20</v>
      </c>
      <c r="D63">
        <v>10</v>
      </c>
      <c r="E63">
        <v>10</v>
      </c>
      <c r="F63">
        <v>5.0987</v>
      </c>
      <c r="G63">
        <v>1.639</v>
      </c>
      <c r="H63">
        <v>0</v>
      </c>
    </row>
    <row r="64" spans="1:8" x14ac:dyDescent="0.3">
      <c r="A64">
        <f t="shared" si="0"/>
        <v>63</v>
      </c>
      <c r="B64">
        <v>0</v>
      </c>
      <c r="C64">
        <v>20</v>
      </c>
      <c r="D64">
        <v>10</v>
      </c>
      <c r="E64">
        <v>20</v>
      </c>
      <c r="F64">
        <v>8.0153999999999996</v>
      </c>
      <c r="G64">
        <v>3.6179999999999999</v>
      </c>
      <c r="H64">
        <v>0</v>
      </c>
    </row>
    <row r="65" spans="1:8" x14ac:dyDescent="0.3">
      <c r="A65">
        <f t="shared" si="0"/>
        <v>64</v>
      </c>
      <c r="B65">
        <v>0</v>
      </c>
      <c r="C65">
        <v>20</v>
      </c>
      <c r="D65">
        <v>10</v>
      </c>
      <c r="E65">
        <v>30</v>
      </c>
      <c r="F65">
        <v>13.7309</v>
      </c>
      <c r="G65">
        <v>8.6890000000000001</v>
      </c>
      <c r="H65">
        <v>3.2185999999999999</v>
      </c>
    </row>
    <row r="66" spans="1:8" x14ac:dyDescent="0.3">
      <c r="A66">
        <f t="shared" si="0"/>
        <v>65</v>
      </c>
      <c r="B66">
        <v>0</v>
      </c>
      <c r="C66">
        <v>20</v>
      </c>
      <c r="D66">
        <v>10</v>
      </c>
      <c r="E66">
        <v>40</v>
      </c>
      <c r="F66">
        <v>27.064900000000002</v>
      </c>
      <c r="G66">
        <v>23.495000000000001</v>
      </c>
      <c r="H66">
        <v>14.81</v>
      </c>
    </row>
    <row r="67" spans="1:8" x14ac:dyDescent="0.3">
      <c r="A67">
        <f t="shared" si="0"/>
        <v>66</v>
      </c>
      <c r="B67">
        <v>0</v>
      </c>
      <c r="C67">
        <v>20</v>
      </c>
      <c r="D67">
        <v>15</v>
      </c>
      <c r="E67">
        <v>0</v>
      </c>
      <c r="F67">
        <v>2.9712999999999998</v>
      </c>
      <c r="G67">
        <v>0.52400000000000002</v>
      </c>
      <c r="H67">
        <v>0</v>
      </c>
    </row>
    <row r="68" spans="1:8" x14ac:dyDescent="0.3">
      <c r="A68">
        <f t="shared" si="0"/>
        <v>67</v>
      </c>
      <c r="B68">
        <v>0</v>
      </c>
      <c r="C68">
        <v>20</v>
      </c>
      <c r="D68">
        <v>15</v>
      </c>
      <c r="E68">
        <v>10</v>
      </c>
      <c r="F68">
        <v>4.3574000000000002</v>
      </c>
      <c r="G68">
        <v>1.3</v>
      </c>
      <c r="H68">
        <v>0</v>
      </c>
    </row>
    <row r="69" spans="1:8" x14ac:dyDescent="0.3">
      <c r="A69">
        <f t="shared" ref="A69:A132" si="1">A68+1</f>
        <v>68</v>
      </c>
      <c r="B69">
        <v>0</v>
      </c>
      <c r="C69">
        <v>20</v>
      </c>
      <c r="D69">
        <v>15</v>
      </c>
      <c r="E69">
        <v>20</v>
      </c>
      <c r="F69">
        <v>6.7275</v>
      </c>
      <c r="G69">
        <v>2.9390000000000001</v>
      </c>
      <c r="H69">
        <v>0</v>
      </c>
    </row>
    <row r="70" spans="1:8" x14ac:dyDescent="0.3">
      <c r="A70">
        <f t="shared" si="1"/>
        <v>69</v>
      </c>
      <c r="B70">
        <v>0</v>
      </c>
      <c r="C70">
        <v>20</v>
      </c>
      <c r="D70">
        <v>15</v>
      </c>
      <c r="E70">
        <v>30</v>
      </c>
      <c r="F70">
        <v>11.266999999999999</v>
      </c>
      <c r="G70">
        <v>6.9379999999999997</v>
      </c>
      <c r="H70">
        <v>2.278</v>
      </c>
    </row>
    <row r="71" spans="1:8" x14ac:dyDescent="0.3">
      <c r="A71">
        <f t="shared" si="1"/>
        <v>70</v>
      </c>
      <c r="B71">
        <v>0</v>
      </c>
      <c r="C71">
        <v>20</v>
      </c>
      <c r="D71">
        <v>15</v>
      </c>
      <c r="E71">
        <v>40</v>
      </c>
      <c r="F71">
        <v>21.462199999999999</v>
      </c>
      <c r="G71">
        <v>18.376999999999999</v>
      </c>
      <c r="H71">
        <v>10.25</v>
      </c>
    </row>
    <row r="72" spans="1:8" x14ac:dyDescent="0.3">
      <c r="A72">
        <f t="shared" si="1"/>
        <v>71</v>
      </c>
      <c r="B72">
        <v>0</v>
      </c>
      <c r="C72">
        <v>20</v>
      </c>
      <c r="D72">
        <v>20</v>
      </c>
      <c r="E72">
        <v>0</v>
      </c>
      <c r="F72">
        <v>2.5211999999999999</v>
      </c>
      <c r="G72">
        <v>0.34799999999999998</v>
      </c>
      <c r="H72">
        <v>0</v>
      </c>
    </row>
    <row r="73" spans="1:8" x14ac:dyDescent="0.3">
      <c r="A73">
        <f t="shared" si="1"/>
        <v>72</v>
      </c>
      <c r="B73">
        <v>0</v>
      </c>
      <c r="C73">
        <v>20</v>
      </c>
      <c r="D73">
        <v>20</v>
      </c>
      <c r="E73">
        <v>10</v>
      </c>
      <c r="F73">
        <v>3.6507000000000001</v>
      </c>
      <c r="G73">
        <v>0.95199999999999996</v>
      </c>
      <c r="H73">
        <v>0</v>
      </c>
    </row>
    <row r="74" spans="1:8" x14ac:dyDescent="0.3">
      <c r="A74">
        <f t="shared" si="1"/>
        <v>73</v>
      </c>
      <c r="B74">
        <v>0</v>
      </c>
      <c r="C74">
        <v>20</v>
      </c>
      <c r="D74">
        <v>20</v>
      </c>
      <c r="E74">
        <v>20</v>
      </c>
      <c r="F74">
        <v>5.5396999999999998</v>
      </c>
      <c r="G74">
        <v>2.27</v>
      </c>
      <c r="H74">
        <v>0</v>
      </c>
    </row>
    <row r="75" spans="1:8" x14ac:dyDescent="0.3">
      <c r="A75">
        <f t="shared" si="1"/>
        <v>74</v>
      </c>
      <c r="B75">
        <v>0</v>
      </c>
      <c r="C75">
        <v>20</v>
      </c>
      <c r="D75">
        <v>20</v>
      </c>
      <c r="E75">
        <v>30</v>
      </c>
      <c r="F75">
        <v>9.0701000000000001</v>
      </c>
      <c r="G75">
        <v>5.4119999999999999</v>
      </c>
      <c r="H75">
        <v>0</v>
      </c>
    </row>
    <row r="76" spans="1:8" x14ac:dyDescent="0.3">
      <c r="A76">
        <f t="shared" si="1"/>
        <v>75</v>
      </c>
      <c r="B76">
        <v>0</v>
      </c>
      <c r="C76">
        <v>20</v>
      </c>
      <c r="D76">
        <v>20</v>
      </c>
      <c r="E76">
        <v>40</v>
      </c>
      <c r="F76">
        <v>16.723299999999998</v>
      </c>
      <c r="G76">
        <v>14.073</v>
      </c>
      <c r="H76">
        <v>6.7522000000000002</v>
      </c>
    </row>
    <row r="77" spans="1:8" x14ac:dyDescent="0.3">
      <c r="A77">
        <f t="shared" si="1"/>
        <v>76</v>
      </c>
      <c r="B77">
        <v>0</v>
      </c>
      <c r="C77">
        <v>30</v>
      </c>
      <c r="D77">
        <v>0</v>
      </c>
      <c r="E77">
        <v>0</v>
      </c>
      <c r="F77">
        <v>3.9159999999999999</v>
      </c>
      <c r="G77">
        <v>1</v>
      </c>
      <c r="H77">
        <v>0</v>
      </c>
    </row>
    <row r="78" spans="1:8" x14ac:dyDescent="0.3">
      <c r="A78">
        <f t="shared" si="1"/>
        <v>77</v>
      </c>
      <c r="B78">
        <v>0</v>
      </c>
      <c r="C78">
        <v>30</v>
      </c>
      <c r="D78">
        <v>0</v>
      </c>
      <c r="E78">
        <v>10</v>
      </c>
      <c r="F78">
        <v>5.7919999999999998</v>
      </c>
      <c r="G78">
        <v>2.0499999999999998</v>
      </c>
      <c r="H78">
        <v>0</v>
      </c>
    </row>
    <row r="79" spans="1:8" x14ac:dyDescent="0.3">
      <c r="A79">
        <f t="shared" si="1"/>
        <v>78</v>
      </c>
      <c r="B79">
        <v>0</v>
      </c>
      <c r="C79">
        <v>30</v>
      </c>
      <c r="D79">
        <v>0</v>
      </c>
      <c r="E79">
        <v>20</v>
      </c>
      <c r="F79">
        <v>9.0089000000000006</v>
      </c>
      <c r="G79">
        <v>4.3390000000000004</v>
      </c>
      <c r="H79">
        <v>0</v>
      </c>
    </row>
    <row r="80" spans="1:8" x14ac:dyDescent="0.3">
      <c r="A80">
        <f t="shared" si="1"/>
        <v>79</v>
      </c>
      <c r="B80">
        <v>0</v>
      </c>
      <c r="C80">
        <v>30</v>
      </c>
      <c r="D80">
        <v>0</v>
      </c>
      <c r="E80">
        <v>30</v>
      </c>
      <c r="F80">
        <v>15.270099999999999</v>
      </c>
      <c r="G80">
        <v>9.9589999999999996</v>
      </c>
      <c r="H80">
        <v>1.512</v>
      </c>
    </row>
    <row r="81" spans="1:8" x14ac:dyDescent="0.3">
      <c r="A81">
        <f t="shared" si="1"/>
        <v>80</v>
      </c>
      <c r="B81">
        <v>0</v>
      </c>
      <c r="C81">
        <v>30</v>
      </c>
      <c r="D81">
        <v>0</v>
      </c>
      <c r="E81">
        <v>40</v>
      </c>
      <c r="F81">
        <v>29.729500000000002</v>
      </c>
      <c r="G81">
        <v>25.952000000000002</v>
      </c>
      <c r="H81">
        <v>12.913</v>
      </c>
    </row>
    <row r="82" spans="1:8" x14ac:dyDescent="0.3">
      <c r="A82">
        <f t="shared" si="1"/>
        <v>81</v>
      </c>
      <c r="B82">
        <v>0</v>
      </c>
      <c r="C82">
        <v>30</v>
      </c>
      <c r="D82">
        <v>5</v>
      </c>
      <c r="E82">
        <v>0</v>
      </c>
      <c r="F82">
        <v>3.5655000000000001</v>
      </c>
      <c r="G82">
        <v>0.82599999999999996</v>
      </c>
      <c r="H82">
        <v>0</v>
      </c>
    </row>
    <row r="83" spans="1:8" x14ac:dyDescent="0.3">
      <c r="A83">
        <f t="shared" si="1"/>
        <v>82</v>
      </c>
      <c r="B83">
        <v>0</v>
      </c>
      <c r="C83">
        <v>30</v>
      </c>
      <c r="D83">
        <v>5</v>
      </c>
      <c r="E83">
        <v>10</v>
      </c>
      <c r="F83">
        <v>5.1818999999999997</v>
      </c>
      <c r="G83">
        <v>1.8440000000000001</v>
      </c>
      <c r="H83">
        <v>0</v>
      </c>
    </row>
    <row r="84" spans="1:8" x14ac:dyDescent="0.3">
      <c r="A84">
        <f t="shared" si="1"/>
        <v>83</v>
      </c>
      <c r="B84">
        <v>0</v>
      </c>
      <c r="C84">
        <v>30</v>
      </c>
      <c r="D84">
        <v>5</v>
      </c>
      <c r="E84">
        <v>20</v>
      </c>
      <c r="F84">
        <v>7.9298000000000002</v>
      </c>
      <c r="G84">
        <v>3.778</v>
      </c>
      <c r="H84">
        <v>0</v>
      </c>
    </row>
    <row r="85" spans="1:8" x14ac:dyDescent="0.3">
      <c r="A85">
        <f t="shared" si="1"/>
        <v>84</v>
      </c>
      <c r="B85">
        <v>0</v>
      </c>
      <c r="C85">
        <v>30</v>
      </c>
      <c r="D85">
        <v>5</v>
      </c>
      <c r="E85">
        <v>30</v>
      </c>
      <c r="F85">
        <v>13.117599999999999</v>
      </c>
      <c r="G85">
        <v>8.3819999999999997</v>
      </c>
      <c r="H85">
        <v>1.228</v>
      </c>
    </row>
    <row r="86" spans="1:8" x14ac:dyDescent="0.3">
      <c r="A86">
        <f t="shared" si="1"/>
        <v>85</v>
      </c>
      <c r="B86">
        <v>0</v>
      </c>
      <c r="C86">
        <v>30</v>
      </c>
      <c r="D86">
        <v>5</v>
      </c>
      <c r="E86">
        <v>40</v>
      </c>
      <c r="F86">
        <v>24.665400000000002</v>
      </c>
      <c r="G86">
        <v>21.574999999999999</v>
      </c>
      <c r="H86">
        <v>9.7591999999999999</v>
      </c>
    </row>
    <row r="87" spans="1:8" x14ac:dyDescent="0.3">
      <c r="A87">
        <f t="shared" si="1"/>
        <v>86</v>
      </c>
      <c r="B87">
        <v>0</v>
      </c>
      <c r="C87">
        <v>30</v>
      </c>
      <c r="D87">
        <v>10</v>
      </c>
      <c r="E87">
        <v>0</v>
      </c>
      <c r="F87">
        <v>3.1648000000000001</v>
      </c>
      <c r="G87">
        <v>0.76100000000000001</v>
      </c>
      <c r="H87">
        <v>0</v>
      </c>
    </row>
    <row r="88" spans="1:8" x14ac:dyDescent="0.3">
      <c r="A88">
        <f t="shared" si="1"/>
        <v>87</v>
      </c>
      <c r="B88">
        <v>0</v>
      </c>
      <c r="C88">
        <v>30</v>
      </c>
      <c r="D88">
        <v>10</v>
      </c>
      <c r="E88">
        <v>10</v>
      </c>
      <c r="F88">
        <v>4.5392000000000001</v>
      </c>
      <c r="G88">
        <v>1.52</v>
      </c>
      <c r="H88">
        <v>0</v>
      </c>
    </row>
    <row r="89" spans="1:8" x14ac:dyDescent="0.3">
      <c r="A89">
        <f t="shared" si="1"/>
        <v>88</v>
      </c>
      <c r="B89">
        <v>0</v>
      </c>
      <c r="C89">
        <v>30</v>
      </c>
      <c r="D89">
        <v>10</v>
      </c>
      <c r="E89">
        <v>20</v>
      </c>
      <c r="F89">
        <v>6.8087</v>
      </c>
      <c r="G89">
        <v>3.2130000000000001</v>
      </c>
      <c r="H89">
        <v>0</v>
      </c>
    </row>
    <row r="90" spans="1:8" x14ac:dyDescent="0.3">
      <c r="A90">
        <f t="shared" si="1"/>
        <v>89</v>
      </c>
      <c r="B90">
        <v>0</v>
      </c>
      <c r="C90">
        <v>30</v>
      </c>
      <c r="D90">
        <v>10</v>
      </c>
      <c r="E90">
        <v>30</v>
      </c>
      <c r="F90">
        <v>11.006399999999999</v>
      </c>
      <c r="G90">
        <v>7.0140000000000002</v>
      </c>
      <c r="H90">
        <v>0.58420000000000005</v>
      </c>
    </row>
    <row r="91" spans="1:8" x14ac:dyDescent="0.3">
      <c r="A91">
        <f t="shared" si="1"/>
        <v>90</v>
      </c>
      <c r="B91">
        <v>0</v>
      </c>
      <c r="C91">
        <v>30</v>
      </c>
      <c r="D91">
        <v>10</v>
      </c>
      <c r="E91">
        <v>40</v>
      </c>
      <c r="F91">
        <v>19.971900000000002</v>
      </c>
      <c r="G91">
        <v>16.759</v>
      </c>
      <c r="H91">
        <v>7.1710000000000003</v>
      </c>
    </row>
    <row r="92" spans="1:8" x14ac:dyDescent="0.3">
      <c r="A92">
        <f t="shared" si="1"/>
        <v>91</v>
      </c>
      <c r="B92">
        <v>0</v>
      </c>
      <c r="C92">
        <v>30</v>
      </c>
      <c r="D92">
        <v>15</v>
      </c>
      <c r="E92">
        <v>0</v>
      </c>
      <c r="F92">
        <v>2.7696000000000001</v>
      </c>
      <c r="G92">
        <v>0.59299999999999997</v>
      </c>
      <c r="H92">
        <v>0</v>
      </c>
    </row>
    <row r="93" spans="1:8" x14ac:dyDescent="0.3">
      <c r="A93">
        <f t="shared" si="1"/>
        <v>92</v>
      </c>
      <c r="B93">
        <v>0</v>
      </c>
      <c r="C93">
        <v>30</v>
      </c>
      <c r="D93">
        <v>15</v>
      </c>
      <c r="E93">
        <v>10</v>
      </c>
      <c r="F93">
        <v>3.9079999999999999</v>
      </c>
      <c r="G93">
        <v>1.2390000000000001</v>
      </c>
      <c r="H93">
        <v>0</v>
      </c>
    </row>
    <row r="94" spans="1:8" x14ac:dyDescent="0.3">
      <c r="A94">
        <f t="shared" si="1"/>
        <v>93</v>
      </c>
      <c r="B94">
        <v>0</v>
      </c>
      <c r="C94">
        <v>30</v>
      </c>
      <c r="D94">
        <v>15</v>
      </c>
      <c r="E94">
        <v>20</v>
      </c>
      <c r="F94">
        <v>5.7504</v>
      </c>
      <c r="G94">
        <v>2.6080000000000001</v>
      </c>
      <c r="H94">
        <v>0</v>
      </c>
    </row>
    <row r="95" spans="1:8" x14ac:dyDescent="0.3">
      <c r="A95">
        <f t="shared" si="1"/>
        <v>94</v>
      </c>
      <c r="B95">
        <v>0</v>
      </c>
      <c r="C95">
        <v>30</v>
      </c>
      <c r="D95">
        <v>15</v>
      </c>
      <c r="E95">
        <v>30</v>
      </c>
      <c r="F95">
        <v>9.0643999999999991</v>
      </c>
      <c r="G95">
        <v>5.673</v>
      </c>
      <c r="H95">
        <v>0</v>
      </c>
    </row>
    <row r="96" spans="1:8" x14ac:dyDescent="0.3">
      <c r="A96">
        <f t="shared" si="1"/>
        <v>95</v>
      </c>
      <c r="B96">
        <v>0</v>
      </c>
      <c r="C96">
        <v>30</v>
      </c>
      <c r="D96">
        <v>15</v>
      </c>
      <c r="E96">
        <v>40</v>
      </c>
      <c r="F96">
        <v>15.8469</v>
      </c>
      <c r="G96">
        <v>13.651999999999999</v>
      </c>
      <c r="H96">
        <v>5.0049999999999999</v>
      </c>
    </row>
    <row r="97" spans="1:8" x14ac:dyDescent="0.3">
      <c r="A97">
        <f t="shared" si="1"/>
        <v>96</v>
      </c>
      <c r="B97">
        <v>0</v>
      </c>
      <c r="C97">
        <v>30</v>
      </c>
      <c r="D97">
        <v>20</v>
      </c>
      <c r="E97">
        <v>0</v>
      </c>
      <c r="F97">
        <v>2.7696000000000001</v>
      </c>
      <c r="G97">
        <v>0.59399999999999997</v>
      </c>
      <c r="H97">
        <v>0</v>
      </c>
    </row>
    <row r="98" spans="1:8" x14ac:dyDescent="0.3">
      <c r="A98">
        <f t="shared" si="1"/>
        <v>97</v>
      </c>
      <c r="B98">
        <v>0</v>
      </c>
      <c r="C98">
        <v>30</v>
      </c>
      <c r="D98">
        <v>20</v>
      </c>
      <c r="E98">
        <v>10</v>
      </c>
      <c r="F98">
        <v>3.9079000000000002</v>
      </c>
      <c r="G98">
        <v>1.2370000000000001</v>
      </c>
      <c r="H98">
        <v>0</v>
      </c>
    </row>
    <row r="99" spans="1:8" x14ac:dyDescent="0.3">
      <c r="A99">
        <f t="shared" si="1"/>
        <v>98</v>
      </c>
      <c r="B99">
        <v>0</v>
      </c>
      <c r="C99">
        <v>30</v>
      </c>
      <c r="D99">
        <v>20</v>
      </c>
      <c r="E99">
        <v>20</v>
      </c>
      <c r="F99">
        <v>5.7502000000000004</v>
      </c>
      <c r="G99">
        <v>2.61</v>
      </c>
      <c r="H99">
        <v>0</v>
      </c>
    </row>
    <row r="100" spans="1:8" x14ac:dyDescent="0.3">
      <c r="A100">
        <f t="shared" si="1"/>
        <v>99</v>
      </c>
      <c r="B100">
        <v>0</v>
      </c>
      <c r="C100">
        <v>30</v>
      </c>
      <c r="D100">
        <v>20</v>
      </c>
      <c r="E100">
        <v>30</v>
      </c>
      <c r="F100">
        <v>9.0642999999999994</v>
      </c>
      <c r="G100">
        <v>5.673</v>
      </c>
      <c r="H100">
        <v>0</v>
      </c>
    </row>
    <row r="101" spans="1:8" x14ac:dyDescent="0.3">
      <c r="A101">
        <f t="shared" si="1"/>
        <v>100</v>
      </c>
      <c r="B101">
        <v>0</v>
      </c>
      <c r="C101">
        <v>30</v>
      </c>
      <c r="D101">
        <v>20</v>
      </c>
      <c r="E101">
        <v>40</v>
      </c>
      <c r="F101">
        <v>15.8474</v>
      </c>
      <c r="G101">
        <v>13.616</v>
      </c>
      <c r="H101">
        <v>5.0107699999999999</v>
      </c>
    </row>
    <row r="102" spans="1:8" x14ac:dyDescent="0.3">
      <c r="A102">
        <f t="shared" si="1"/>
        <v>101</v>
      </c>
      <c r="B102">
        <v>0</v>
      </c>
      <c r="C102">
        <v>40</v>
      </c>
      <c r="D102">
        <v>0</v>
      </c>
      <c r="E102">
        <v>0</v>
      </c>
      <c r="F102">
        <v>3.5739000000000001</v>
      </c>
      <c r="G102">
        <v>1.0209999999999999</v>
      </c>
      <c r="H102">
        <v>0</v>
      </c>
    </row>
    <row r="103" spans="1:8" x14ac:dyDescent="0.3">
      <c r="A103">
        <f t="shared" si="1"/>
        <v>102</v>
      </c>
      <c r="B103">
        <v>0</v>
      </c>
      <c r="C103">
        <v>40</v>
      </c>
      <c r="D103">
        <v>0</v>
      </c>
      <c r="E103">
        <v>10</v>
      </c>
      <c r="F103">
        <v>5.0970000000000004</v>
      </c>
      <c r="G103">
        <v>1.9259999999999999</v>
      </c>
      <c r="H103">
        <v>0</v>
      </c>
    </row>
    <row r="104" spans="1:8" x14ac:dyDescent="0.3">
      <c r="A104">
        <f t="shared" si="1"/>
        <v>103</v>
      </c>
      <c r="B104">
        <v>0</v>
      </c>
      <c r="C104">
        <v>40</v>
      </c>
      <c r="D104">
        <v>0</v>
      </c>
      <c r="E104">
        <v>20</v>
      </c>
      <c r="F104">
        <v>7.6036000000000001</v>
      </c>
      <c r="G104">
        <v>3.8</v>
      </c>
      <c r="H104">
        <v>0</v>
      </c>
    </row>
    <row r="105" spans="1:8" x14ac:dyDescent="0.3">
      <c r="A105">
        <f t="shared" si="1"/>
        <v>104</v>
      </c>
      <c r="B105">
        <v>0</v>
      </c>
      <c r="C105">
        <v>40</v>
      </c>
      <c r="D105">
        <v>0</v>
      </c>
      <c r="E105">
        <v>30</v>
      </c>
      <c r="F105">
        <v>12.162000000000001</v>
      </c>
      <c r="G105">
        <v>8.1029999999999998</v>
      </c>
      <c r="H105">
        <v>0</v>
      </c>
    </row>
    <row r="106" spans="1:8" x14ac:dyDescent="0.3">
      <c r="A106">
        <f t="shared" si="1"/>
        <v>105</v>
      </c>
      <c r="B106">
        <v>0</v>
      </c>
      <c r="C106">
        <v>40</v>
      </c>
      <c r="D106">
        <v>0</v>
      </c>
      <c r="E106">
        <v>40</v>
      </c>
      <c r="F106">
        <v>21.902000000000001</v>
      </c>
      <c r="G106">
        <v>19.465</v>
      </c>
      <c r="H106">
        <v>2.79</v>
      </c>
    </row>
    <row r="107" spans="1:8" x14ac:dyDescent="0.3">
      <c r="A107">
        <f t="shared" si="1"/>
        <v>106</v>
      </c>
      <c r="B107">
        <v>0</v>
      </c>
      <c r="C107">
        <v>40</v>
      </c>
      <c r="D107">
        <v>5</v>
      </c>
      <c r="E107">
        <v>0</v>
      </c>
      <c r="F107">
        <v>3.2544</v>
      </c>
      <c r="G107">
        <v>0.878</v>
      </c>
      <c r="H107">
        <v>0</v>
      </c>
    </row>
    <row r="108" spans="1:8" x14ac:dyDescent="0.3">
      <c r="A108">
        <f t="shared" si="1"/>
        <v>107</v>
      </c>
      <c r="B108">
        <v>0</v>
      </c>
      <c r="C108">
        <v>40</v>
      </c>
      <c r="D108">
        <v>5</v>
      </c>
      <c r="E108">
        <v>10</v>
      </c>
      <c r="F108">
        <v>4.5762999999999998</v>
      </c>
      <c r="G108">
        <v>1.704</v>
      </c>
      <c r="H108">
        <v>0</v>
      </c>
    </row>
    <row r="109" spans="1:8" x14ac:dyDescent="0.3">
      <c r="A109">
        <f t="shared" si="1"/>
        <v>108</v>
      </c>
      <c r="B109">
        <v>0</v>
      </c>
      <c r="C109">
        <v>40</v>
      </c>
      <c r="D109">
        <v>5</v>
      </c>
      <c r="E109">
        <v>20</v>
      </c>
      <c r="F109">
        <v>6.6898</v>
      </c>
      <c r="G109">
        <v>3.3159999999999998</v>
      </c>
      <c r="H109">
        <v>0</v>
      </c>
    </row>
    <row r="110" spans="1:8" x14ac:dyDescent="0.3">
      <c r="A110">
        <f t="shared" si="1"/>
        <v>109</v>
      </c>
      <c r="B110">
        <v>0</v>
      </c>
      <c r="C110">
        <v>40</v>
      </c>
      <c r="D110">
        <v>5</v>
      </c>
      <c r="E110">
        <v>30</v>
      </c>
      <c r="F110">
        <v>10.45</v>
      </c>
      <c r="G110">
        <v>6.9480000000000004</v>
      </c>
      <c r="H110">
        <v>0</v>
      </c>
    </row>
    <row r="111" spans="1:8" x14ac:dyDescent="0.3">
      <c r="A111">
        <f t="shared" si="1"/>
        <v>110</v>
      </c>
      <c r="B111">
        <v>0</v>
      </c>
      <c r="C111">
        <v>40</v>
      </c>
      <c r="D111">
        <v>5</v>
      </c>
      <c r="E111">
        <v>40</v>
      </c>
      <c r="F111">
        <v>18.1252</v>
      </c>
      <c r="G111">
        <v>16.550999999999998</v>
      </c>
      <c r="H111">
        <v>2.573</v>
      </c>
    </row>
    <row r="112" spans="1:8" x14ac:dyDescent="0.3">
      <c r="A112">
        <f t="shared" si="1"/>
        <v>111</v>
      </c>
      <c r="B112">
        <v>0</v>
      </c>
      <c r="C112">
        <v>40</v>
      </c>
      <c r="D112">
        <v>10</v>
      </c>
      <c r="E112">
        <v>0</v>
      </c>
      <c r="F112">
        <v>2.9064000000000001</v>
      </c>
      <c r="G112">
        <v>0.76400000000000001</v>
      </c>
      <c r="H112">
        <v>0</v>
      </c>
    </row>
    <row r="113" spans="1:8" x14ac:dyDescent="0.3">
      <c r="A113">
        <f t="shared" si="1"/>
        <v>112</v>
      </c>
      <c r="B113">
        <v>0</v>
      </c>
      <c r="C113">
        <v>40</v>
      </c>
      <c r="D113">
        <v>10</v>
      </c>
      <c r="E113">
        <v>10</v>
      </c>
      <c r="F113">
        <v>4.0235000000000003</v>
      </c>
      <c r="G113">
        <v>1.4019999999999999</v>
      </c>
      <c r="H113">
        <v>0</v>
      </c>
    </row>
    <row r="114" spans="1:8" x14ac:dyDescent="0.3">
      <c r="A114">
        <f t="shared" si="1"/>
        <v>113</v>
      </c>
      <c r="B114">
        <v>0</v>
      </c>
      <c r="C114">
        <v>40</v>
      </c>
      <c r="D114">
        <v>10</v>
      </c>
      <c r="E114">
        <v>20</v>
      </c>
      <c r="F114">
        <v>5.7671999999999999</v>
      </c>
      <c r="G114">
        <v>2.827</v>
      </c>
      <c r="H114">
        <v>0</v>
      </c>
    </row>
    <row r="115" spans="1:8" x14ac:dyDescent="0.3">
      <c r="A115">
        <f t="shared" si="1"/>
        <v>114</v>
      </c>
      <c r="B115">
        <v>0</v>
      </c>
      <c r="C115">
        <v>40</v>
      </c>
      <c r="D115">
        <v>10</v>
      </c>
      <c r="E115">
        <v>30</v>
      </c>
      <c r="F115">
        <v>8.7856000000000005</v>
      </c>
      <c r="G115">
        <v>5.7569999999999997</v>
      </c>
      <c r="H115">
        <v>0</v>
      </c>
    </row>
    <row r="116" spans="1:8" x14ac:dyDescent="0.3">
      <c r="A116">
        <f t="shared" si="1"/>
        <v>115</v>
      </c>
      <c r="B116">
        <v>0</v>
      </c>
      <c r="C116">
        <v>40</v>
      </c>
      <c r="D116">
        <v>10</v>
      </c>
      <c r="E116">
        <v>40</v>
      </c>
      <c r="F116">
        <v>14.7303</v>
      </c>
      <c r="G116">
        <v>13.058999999999999</v>
      </c>
      <c r="H116">
        <v>1.7290000000000001</v>
      </c>
    </row>
    <row r="117" spans="1:8" x14ac:dyDescent="0.3">
      <c r="A117">
        <f t="shared" si="1"/>
        <v>116</v>
      </c>
      <c r="B117">
        <v>0</v>
      </c>
      <c r="C117">
        <v>40</v>
      </c>
      <c r="D117">
        <v>15</v>
      </c>
      <c r="E117">
        <v>0</v>
      </c>
      <c r="F117">
        <v>2.5596000000000001</v>
      </c>
      <c r="G117">
        <v>0.63700000000000001</v>
      </c>
      <c r="H117">
        <v>0</v>
      </c>
    </row>
    <row r="118" spans="1:8" x14ac:dyDescent="0.3">
      <c r="A118">
        <f t="shared" si="1"/>
        <v>117</v>
      </c>
      <c r="B118">
        <v>0</v>
      </c>
      <c r="C118">
        <v>40</v>
      </c>
      <c r="D118">
        <v>15</v>
      </c>
      <c r="E118">
        <v>10</v>
      </c>
      <c r="F118">
        <v>3.4832000000000001</v>
      </c>
      <c r="G118">
        <v>1.2010000000000001</v>
      </c>
      <c r="H118">
        <v>0</v>
      </c>
    </row>
    <row r="119" spans="1:8" x14ac:dyDescent="0.3">
      <c r="A119">
        <f t="shared" si="1"/>
        <v>118</v>
      </c>
      <c r="B119">
        <v>0</v>
      </c>
      <c r="C119">
        <v>40</v>
      </c>
      <c r="D119">
        <v>15</v>
      </c>
      <c r="E119">
        <v>20</v>
      </c>
      <c r="F119">
        <v>4.9002999999999997</v>
      </c>
      <c r="G119">
        <v>2.3260000000000001</v>
      </c>
      <c r="H119">
        <v>0</v>
      </c>
    </row>
    <row r="120" spans="1:8" x14ac:dyDescent="0.3">
      <c r="A120">
        <f t="shared" si="1"/>
        <v>119</v>
      </c>
      <c r="B120">
        <v>0</v>
      </c>
      <c r="C120">
        <v>40</v>
      </c>
      <c r="D120">
        <v>15</v>
      </c>
      <c r="E120">
        <v>30</v>
      </c>
      <c r="F120">
        <v>7.2685000000000004</v>
      </c>
      <c r="G120">
        <v>4.6890000000000001</v>
      </c>
      <c r="H120">
        <v>0</v>
      </c>
    </row>
    <row r="121" spans="1:8" x14ac:dyDescent="0.3">
      <c r="A121">
        <f t="shared" si="1"/>
        <v>120</v>
      </c>
      <c r="B121">
        <v>0</v>
      </c>
      <c r="C121">
        <v>40</v>
      </c>
      <c r="D121">
        <v>15</v>
      </c>
      <c r="E121">
        <v>40</v>
      </c>
      <c r="F121">
        <v>11.7691</v>
      </c>
      <c r="G121">
        <v>10.172000000000001</v>
      </c>
      <c r="H121">
        <v>1.3029999999999999</v>
      </c>
    </row>
    <row r="122" spans="1:8" x14ac:dyDescent="0.3">
      <c r="A122">
        <f t="shared" si="1"/>
        <v>121</v>
      </c>
      <c r="B122">
        <v>0</v>
      </c>
      <c r="C122">
        <v>40</v>
      </c>
      <c r="D122">
        <v>20</v>
      </c>
      <c r="E122">
        <v>0</v>
      </c>
      <c r="F122">
        <v>2.2290000000000001</v>
      </c>
      <c r="G122">
        <v>0.42199999999999999</v>
      </c>
      <c r="H122">
        <v>0</v>
      </c>
    </row>
    <row r="123" spans="1:8" x14ac:dyDescent="0.3">
      <c r="A123">
        <f t="shared" si="1"/>
        <v>122</v>
      </c>
      <c r="B123">
        <v>0</v>
      </c>
      <c r="C123">
        <v>40</v>
      </c>
      <c r="D123">
        <v>20</v>
      </c>
      <c r="E123">
        <v>10</v>
      </c>
      <c r="F123">
        <v>2.9822000000000002</v>
      </c>
      <c r="G123">
        <v>0.94599999999999995</v>
      </c>
      <c r="H123">
        <v>0</v>
      </c>
    </row>
    <row r="124" spans="1:8" x14ac:dyDescent="0.3">
      <c r="A124">
        <f t="shared" si="1"/>
        <v>123</v>
      </c>
      <c r="B124">
        <v>0</v>
      </c>
      <c r="C124">
        <v>40</v>
      </c>
      <c r="D124">
        <v>20</v>
      </c>
      <c r="E124">
        <v>20</v>
      </c>
      <c r="F124">
        <v>4.1077000000000004</v>
      </c>
      <c r="G124">
        <v>1.8360000000000001</v>
      </c>
      <c r="H124">
        <v>0</v>
      </c>
    </row>
    <row r="125" spans="1:8" x14ac:dyDescent="0.3">
      <c r="A125">
        <f t="shared" si="1"/>
        <v>124</v>
      </c>
      <c r="B125">
        <v>0</v>
      </c>
      <c r="C125">
        <v>40</v>
      </c>
      <c r="D125">
        <v>20</v>
      </c>
      <c r="E125">
        <v>30</v>
      </c>
      <c r="F125">
        <v>5.9310999999999998</v>
      </c>
      <c r="G125">
        <v>3.657</v>
      </c>
      <c r="H125">
        <v>0</v>
      </c>
    </row>
    <row r="126" spans="1:8" x14ac:dyDescent="0.3">
      <c r="A126">
        <f t="shared" si="1"/>
        <v>125</v>
      </c>
      <c r="B126">
        <v>0</v>
      </c>
      <c r="C126">
        <v>40</v>
      </c>
      <c r="D126">
        <v>20</v>
      </c>
      <c r="E126">
        <v>40</v>
      </c>
      <c r="F126">
        <v>9.2498000000000005</v>
      </c>
      <c r="G126">
        <v>7.8259999999999996</v>
      </c>
      <c r="H126">
        <v>0.48359999999999997</v>
      </c>
    </row>
    <row r="127" spans="1:8" x14ac:dyDescent="0.3">
      <c r="A127">
        <f t="shared" si="1"/>
        <v>126</v>
      </c>
      <c r="B127">
        <v>1</v>
      </c>
      <c r="C127">
        <v>0</v>
      </c>
      <c r="D127">
        <v>0</v>
      </c>
      <c r="E127">
        <v>0</v>
      </c>
      <c r="F127">
        <v>4.9782999999999999</v>
      </c>
      <c r="G127">
        <v>0.98699999999999999</v>
      </c>
      <c r="H127">
        <v>0</v>
      </c>
    </row>
    <row r="128" spans="1:8" x14ac:dyDescent="0.3">
      <c r="A128">
        <f t="shared" si="1"/>
        <v>127</v>
      </c>
      <c r="B128">
        <v>1</v>
      </c>
      <c r="C128">
        <v>0</v>
      </c>
      <c r="D128">
        <v>0</v>
      </c>
      <c r="E128">
        <v>10</v>
      </c>
      <c r="F128">
        <v>8.14</v>
      </c>
      <c r="G128">
        <v>2.5630000000000002</v>
      </c>
      <c r="H128">
        <v>1.6020000000000001</v>
      </c>
    </row>
    <row r="129" spans="1:8" x14ac:dyDescent="0.3">
      <c r="A129">
        <f t="shared" si="1"/>
        <v>128</v>
      </c>
      <c r="B129">
        <v>1</v>
      </c>
      <c r="C129">
        <v>0</v>
      </c>
      <c r="D129">
        <v>0</v>
      </c>
      <c r="E129">
        <v>20</v>
      </c>
      <c r="F129">
        <v>14.552300000000001</v>
      </c>
      <c r="G129">
        <f>152-145.523</f>
        <v>6.4770000000000039</v>
      </c>
      <c r="H129">
        <v>2.9350000000000001</v>
      </c>
    </row>
    <row r="130" spans="1:8" x14ac:dyDescent="0.3">
      <c r="A130">
        <f t="shared" si="1"/>
        <v>129</v>
      </c>
      <c r="B130">
        <v>1</v>
      </c>
      <c r="C130">
        <v>0</v>
      </c>
      <c r="D130">
        <v>0</v>
      </c>
      <c r="E130">
        <v>30</v>
      </c>
      <c r="F130">
        <v>29.528400000000001</v>
      </c>
      <c r="G130">
        <f>313.498-295.284</f>
        <v>18.213999999999999</v>
      </c>
      <c r="H130">
        <v>14.13</v>
      </c>
    </row>
    <row r="131" spans="1:8" x14ac:dyDescent="0.3">
      <c r="A131">
        <f t="shared" si="1"/>
        <v>130</v>
      </c>
      <c r="B131">
        <v>1</v>
      </c>
      <c r="C131">
        <v>0</v>
      </c>
      <c r="D131">
        <v>0</v>
      </c>
      <c r="E131">
        <v>40</v>
      </c>
      <c r="F131">
        <v>73.069100000000006</v>
      </c>
      <c r="G131">
        <f>792.423-730.691</f>
        <v>61.731999999999971</v>
      </c>
      <c r="H131">
        <v>80.325999999999993</v>
      </c>
    </row>
    <row r="132" spans="1:8" x14ac:dyDescent="0.3">
      <c r="A132">
        <f t="shared" si="1"/>
        <v>131</v>
      </c>
      <c r="B132">
        <v>1</v>
      </c>
      <c r="C132">
        <v>0</v>
      </c>
      <c r="D132">
        <v>5</v>
      </c>
      <c r="E132">
        <v>0</v>
      </c>
      <c r="F132">
        <v>4.4984000000000002</v>
      </c>
      <c r="G132">
        <v>0.88900000000000001</v>
      </c>
      <c r="H132">
        <v>0</v>
      </c>
    </row>
    <row r="133" spans="1:8" x14ac:dyDescent="0.3">
      <c r="A133">
        <f t="shared" ref="A133:A196" si="2">A132+1</f>
        <v>132</v>
      </c>
      <c r="B133">
        <v>1</v>
      </c>
      <c r="C133">
        <v>0</v>
      </c>
      <c r="D133">
        <v>5</v>
      </c>
      <c r="E133">
        <v>10</v>
      </c>
      <c r="F133">
        <v>7.2698999999999998</v>
      </c>
      <c r="G133">
        <v>2.173</v>
      </c>
      <c r="H133">
        <v>0</v>
      </c>
    </row>
    <row r="134" spans="1:8" x14ac:dyDescent="0.3">
      <c r="A134">
        <f t="shared" si="2"/>
        <v>133</v>
      </c>
      <c r="B134">
        <v>1</v>
      </c>
      <c r="C134">
        <v>0</v>
      </c>
      <c r="D134">
        <v>5</v>
      </c>
      <c r="E134">
        <v>20</v>
      </c>
      <c r="F134">
        <v>12.763299999999999</v>
      </c>
      <c r="G134">
        <v>5.6459999999999999</v>
      </c>
      <c r="H134">
        <v>2.113</v>
      </c>
    </row>
    <row r="135" spans="1:8" x14ac:dyDescent="0.3">
      <c r="A135">
        <f t="shared" si="2"/>
        <v>134</v>
      </c>
      <c r="B135">
        <v>1</v>
      </c>
      <c r="C135">
        <v>0</v>
      </c>
      <c r="D135">
        <v>5</v>
      </c>
      <c r="E135">
        <v>30</v>
      </c>
      <c r="F135">
        <v>25.369299999999999</v>
      </c>
      <c r="G135">
        <v>15.584</v>
      </c>
      <c r="H135">
        <v>11.057600000000001</v>
      </c>
    </row>
    <row r="136" spans="1:8" x14ac:dyDescent="0.3">
      <c r="A136">
        <f t="shared" si="2"/>
        <v>135</v>
      </c>
      <c r="B136">
        <v>1</v>
      </c>
      <c r="C136">
        <v>0</v>
      </c>
      <c r="D136">
        <v>5</v>
      </c>
      <c r="E136">
        <v>40</v>
      </c>
      <c r="F136">
        <v>61.029000000000003</v>
      </c>
      <c r="G136">
        <v>52.65</v>
      </c>
      <c r="H136">
        <v>61.658000000000001</v>
      </c>
    </row>
    <row r="137" spans="1:8" x14ac:dyDescent="0.3">
      <c r="A137">
        <f t="shared" si="2"/>
        <v>136</v>
      </c>
      <c r="B137">
        <v>1</v>
      </c>
      <c r="C137">
        <v>0</v>
      </c>
      <c r="D137">
        <v>10</v>
      </c>
      <c r="E137">
        <v>0</v>
      </c>
      <c r="F137">
        <v>3.9363000000000001</v>
      </c>
      <c r="G137">
        <v>0.70899999999999996</v>
      </c>
      <c r="H137">
        <v>0</v>
      </c>
    </row>
    <row r="138" spans="1:8" x14ac:dyDescent="0.3">
      <c r="A138">
        <f t="shared" si="2"/>
        <v>137</v>
      </c>
      <c r="B138">
        <v>1</v>
      </c>
      <c r="C138">
        <v>0</v>
      </c>
      <c r="D138">
        <v>10</v>
      </c>
      <c r="E138">
        <v>10</v>
      </c>
      <c r="F138">
        <v>6.3010999999999999</v>
      </c>
      <c r="G138">
        <v>1.8109999999999999</v>
      </c>
      <c r="H138">
        <v>0</v>
      </c>
    </row>
    <row r="139" spans="1:8" x14ac:dyDescent="0.3">
      <c r="A139">
        <f t="shared" si="2"/>
        <v>138</v>
      </c>
      <c r="B139">
        <v>1</v>
      </c>
      <c r="C139">
        <v>0</v>
      </c>
      <c r="D139">
        <v>10</v>
      </c>
      <c r="E139">
        <v>20</v>
      </c>
      <c r="F139">
        <v>10.8926</v>
      </c>
      <c r="G139">
        <v>4.6130000000000004</v>
      </c>
      <c r="H139">
        <v>0</v>
      </c>
    </row>
    <row r="140" spans="1:8" x14ac:dyDescent="0.3">
      <c r="A140">
        <f t="shared" si="2"/>
        <v>139</v>
      </c>
      <c r="B140">
        <v>1</v>
      </c>
      <c r="C140">
        <v>0</v>
      </c>
      <c r="D140">
        <v>10</v>
      </c>
      <c r="E140">
        <v>30</v>
      </c>
      <c r="F140">
        <v>21.150099999999998</v>
      </c>
      <c r="G140">
        <v>12.76</v>
      </c>
      <c r="H140">
        <v>8.1950000000000003</v>
      </c>
    </row>
    <row r="141" spans="1:8" x14ac:dyDescent="0.3">
      <c r="A141">
        <f t="shared" si="2"/>
        <v>140</v>
      </c>
      <c r="B141">
        <v>1</v>
      </c>
      <c r="C141">
        <v>0</v>
      </c>
      <c r="D141">
        <v>10</v>
      </c>
      <c r="E141">
        <v>40</v>
      </c>
      <c r="F141">
        <v>49.336599999999997</v>
      </c>
      <c r="G141">
        <v>41.927999999999997</v>
      </c>
      <c r="H141">
        <v>44.015999999999998</v>
      </c>
    </row>
    <row r="142" spans="1:8" x14ac:dyDescent="0.3">
      <c r="A142">
        <f t="shared" si="2"/>
        <v>141</v>
      </c>
      <c r="B142">
        <v>1</v>
      </c>
      <c r="C142">
        <v>0</v>
      </c>
      <c r="D142">
        <v>15</v>
      </c>
      <c r="E142">
        <v>0</v>
      </c>
      <c r="F142">
        <v>3.3281999999999998</v>
      </c>
      <c r="G142">
        <v>0.48399999999999999</v>
      </c>
      <c r="H142">
        <v>0</v>
      </c>
    </row>
    <row r="143" spans="1:8" x14ac:dyDescent="0.3">
      <c r="A143">
        <f t="shared" si="2"/>
        <v>142</v>
      </c>
      <c r="B143">
        <v>1</v>
      </c>
      <c r="C143">
        <v>0</v>
      </c>
      <c r="D143">
        <v>15</v>
      </c>
      <c r="E143">
        <v>10</v>
      </c>
      <c r="F143">
        <v>5.2998000000000003</v>
      </c>
      <c r="G143">
        <v>1.387</v>
      </c>
      <c r="H143">
        <v>0</v>
      </c>
    </row>
    <row r="144" spans="1:8" x14ac:dyDescent="0.3">
      <c r="A144">
        <f t="shared" si="2"/>
        <v>143</v>
      </c>
      <c r="B144">
        <v>1</v>
      </c>
      <c r="C144">
        <v>0</v>
      </c>
      <c r="D144">
        <v>15</v>
      </c>
      <c r="E144">
        <v>20</v>
      </c>
      <c r="F144">
        <v>9.0496999999999996</v>
      </c>
      <c r="G144">
        <v>3.7749999999999999</v>
      </c>
      <c r="H144">
        <v>0</v>
      </c>
    </row>
    <row r="145" spans="1:8" x14ac:dyDescent="0.3">
      <c r="A145">
        <f t="shared" si="2"/>
        <v>144</v>
      </c>
      <c r="B145">
        <v>1</v>
      </c>
      <c r="C145">
        <v>0</v>
      </c>
      <c r="D145">
        <v>15</v>
      </c>
      <c r="E145">
        <v>30</v>
      </c>
      <c r="F145">
        <v>17.226099999999999</v>
      </c>
      <c r="G145">
        <v>10.308999999999999</v>
      </c>
      <c r="H145">
        <v>5.6459999999999999</v>
      </c>
    </row>
    <row r="146" spans="1:8" x14ac:dyDescent="0.3">
      <c r="A146">
        <f t="shared" si="2"/>
        <v>145</v>
      </c>
      <c r="B146">
        <v>1</v>
      </c>
      <c r="C146">
        <v>0</v>
      </c>
      <c r="D146">
        <v>15</v>
      </c>
      <c r="E146">
        <v>40</v>
      </c>
      <c r="F146">
        <v>38.8919</v>
      </c>
      <c r="G146">
        <v>33.006</v>
      </c>
      <c r="H146">
        <v>30.029699999999998</v>
      </c>
    </row>
    <row r="147" spans="1:8" x14ac:dyDescent="0.3">
      <c r="A147">
        <f t="shared" si="2"/>
        <v>146</v>
      </c>
      <c r="B147">
        <v>1</v>
      </c>
      <c r="C147">
        <v>0</v>
      </c>
      <c r="D147">
        <v>20</v>
      </c>
      <c r="E147">
        <v>0</v>
      </c>
      <c r="F147">
        <v>2.7081</v>
      </c>
      <c r="G147">
        <v>0.187</v>
      </c>
      <c r="H147">
        <v>0</v>
      </c>
    </row>
    <row r="148" spans="1:8" x14ac:dyDescent="0.3">
      <c r="A148">
        <f t="shared" si="2"/>
        <v>147</v>
      </c>
      <c r="B148">
        <v>1</v>
      </c>
      <c r="C148">
        <v>0</v>
      </c>
      <c r="D148">
        <v>20</v>
      </c>
      <c r="E148">
        <v>10</v>
      </c>
      <c r="F148">
        <v>4.3150000000000004</v>
      </c>
      <c r="G148">
        <v>0.96699999999999997</v>
      </c>
      <c r="H148">
        <v>0</v>
      </c>
    </row>
    <row r="149" spans="1:8" x14ac:dyDescent="0.3">
      <c r="A149">
        <f t="shared" si="2"/>
        <v>148</v>
      </c>
      <c r="B149">
        <v>1</v>
      </c>
      <c r="C149">
        <v>0</v>
      </c>
      <c r="D149">
        <v>20</v>
      </c>
      <c r="E149">
        <v>20</v>
      </c>
      <c r="F149">
        <v>7.3061999999999996</v>
      </c>
      <c r="G149">
        <v>2.85</v>
      </c>
      <c r="H149">
        <v>0</v>
      </c>
    </row>
    <row r="150" spans="1:8" x14ac:dyDescent="0.3">
      <c r="A150">
        <f t="shared" si="2"/>
        <v>149</v>
      </c>
      <c r="B150">
        <v>1</v>
      </c>
      <c r="C150">
        <v>0</v>
      </c>
      <c r="D150">
        <v>20</v>
      </c>
      <c r="E150">
        <v>30</v>
      </c>
      <c r="F150">
        <v>13.6746</v>
      </c>
      <c r="G150">
        <v>8.0679999999999996</v>
      </c>
      <c r="H150">
        <v>1.9970000000000001</v>
      </c>
    </row>
    <row r="151" spans="1:8" x14ac:dyDescent="0.3">
      <c r="A151">
        <f t="shared" si="2"/>
        <v>150</v>
      </c>
      <c r="B151">
        <v>1</v>
      </c>
      <c r="C151">
        <v>0</v>
      </c>
      <c r="D151">
        <v>20</v>
      </c>
      <c r="E151">
        <v>40</v>
      </c>
      <c r="F151">
        <v>30.049600000000002</v>
      </c>
      <c r="G151">
        <v>25.094999999999999</v>
      </c>
      <c r="H151">
        <v>19.405000000000001</v>
      </c>
    </row>
    <row r="152" spans="1:8" x14ac:dyDescent="0.3">
      <c r="A152">
        <f t="shared" si="2"/>
        <v>151</v>
      </c>
      <c r="B152">
        <v>1</v>
      </c>
      <c r="C152">
        <v>10</v>
      </c>
      <c r="D152">
        <v>0</v>
      </c>
      <c r="E152">
        <v>0</v>
      </c>
      <c r="F152">
        <v>4.9272999999999998</v>
      </c>
      <c r="G152">
        <v>1.002</v>
      </c>
      <c r="H152">
        <v>0</v>
      </c>
    </row>
    <row r="153" spans="1:8" x14ac:dyDescent="0.3">
      <c r="A153">
        <f t="shared" si="2"/>
        <v>152</v>
      </c>
      <c r="B153">
        <v>1</v>
      </c>
      <c r="C153">
        <v>10</v>
      </c>
      <c r="D153">
        <v>0</v>
      </c>
      <c r="E153">
        <v>10</v>
      </c>
      <c r="F153">
        <v>7.7988</v>
      </c>
      <c r="G153">
        <v>2.508</v>
      </c>
      <c r="H153">
        <v>3.5999999999999997E-2</v>
      </c>
    </row>
    <row r="154" spans="1:8" x14ac:dyDescent="0.3">
      <c r="A154">
        <f t="shared" si="2"/>
        <v>153</v>
      </c>
      <c r="B154">
        <v>1</v>
      </c>
      <c r="C154">
        <v>10</v>
      </c>
      <c r="D154">
        <v>0</v>
      </c>
      <c r="E154">
        <v>20</v>
      </c>
      <c r="F154">
        <v>13.2483</v>
      </c>
      <c r="G154">
        <v>5.8230000000000004</v>
      </c>
      <c r="H154">
        <v>1.3320000000000001</v>
      </c>
    </row>
    <row r="155" spans="1:8" x14ac:dyDescent="0.3">
      <c r="A155">
        <f t="shared" si="2"/>
        <v>154</v>
      </c>
      <c r="B155">
        <v>1</v>
      </c>
      <c r="C155">
        <v>10</v>
      </c>
      <c r="D155">
        <v>0</v>
      </c>
      <c r="E155">
        <v>30</v>
      </c>
      <c r="F155">
        <v>25.136299999999999</v>
      </c>
      <c r="G155">
        <v>15.753</v>
      </c>
      <c r="H155">
        <v>12.473000000000001</v>
      </c>
    </row>
    <row r="156" spans="1:8" x14ac:dyDescent="0.3">
      <c r="A156">
        <f t="shared" si="2"/>
        <v>155</v>
      </c>
      <c r="B156">
        <v>1</v>
      </c>
      <c r="C156">
        <v>10</v>
      </c>
      <c r="D156">
        <v>0</v>
      </c>
      <c r="E156">
        <v>40</v>
      </c>
      <c r="F156">
        <v>56.520899999999997</v>
      </c>
      <c r="G156">
        <v>50.939</v>
      </c>
      <c r="H156">
        <v>62.567999999999998</v>
      </c>
    </row>
    <row r="157" spans="1:8" x14ac:dyDescent="0.3">
      <c r="A157">
        <f t="shared" si="2"/>
        <v>156</v>
      </c>
      <c r="B157">
        <v>1</v>
      </c>
      <c r="C157">
        <v>10</v>
      </c>
      <c r="D157">
        <v>5</v>
      </c>
      <c r="E157">
        <v>0</v>
      </c>
      <c r="F157">
        <v>4.4801000000000002</v>
      </c>
      <c r="G157">
        <v>0.93500000000000005</v>
      </c>
      <c r="H157">
        <v>0</v>
      </c>
    </row>
    <row r="158" spans="1:8" x14ac:dyDescent="0.3">
      <c r="A158">
        <f t="shared" si="2"/>
        <v>157</v>
      </c>
      <c r="B158">
        <v>1</v>
      </c>
      <c r="C158">
        <v>10</v>
      </c>
      <c r="D158">
        <v>5</v>
      </c>
      <c r="E158">
        <v>10</v>
      </c>
      <c r="F158">
        <v>7.0590000000000002</v>
      </c>
      <c r="G158">
        <v>2.1469999999999998</v>
      </c>
      <c r="H158">
        <v>0</v>
      </c>
    </row>
    <row r="159" spans="1:8" x14ac:dyDescent="0.3">
      <c r="A159">
        <f t="shared" si="2"/>
        <v>158</v>
      </c>
      <c r="B159">
        <v>1</v>
      </c>
      <c r="C159">
        <v>10</v>
      </c>
      <c r="D159">
        <v>5</v>
      </c>
      <c r="E159">
        <v>20</v>
      </c>
      <c r="F159">
        <v>11.808299999999999</v>
      </c>
      <c r="G159">
        <v>5.4580000000000002</v>
      </c>
      <c r="H159">
        <v>0</v>
      </c>
    </row>
    <row r="160" spans="1:8" x14ac:dyDescent="0.3">
      <c r="A160">
        <f t="shared" si="2"/>
        <v>159</v>
      </c>
      <c r="B160">
        <v>1</v>
      </c>
      <c r="C160">
        <v>10</v>
      </c>
      <c r="D160">
        <v>5</v>
      </c>
      <c r="E160">
        <v>30</v>
      </c>
      <c r="F160">
        <v>23.092300000000002</v>
      </c>
      <c r="G160">
        <v>14.01</v>
      </c>
      <c r="H160">
        <v>10.0974</v>
      </c>
    </row>
    <row r="161" spans="1:8" x14ac:dyDescent="0.3">
      <c r="A161">
        <f t="shared" si="2"/>
        <v>160</v>
      </c>
      <c r="B161">
        <v>1</v>
      </c>
      <c r="C161">
        <v>10</v>
      </c>
      <c r="D161">
        <v>5</v>
      </c>
      <c r="E161">
        <v>40</v>
      </c>
      <c r="F161">
        <v>50.487000000000002</v>
      </c>
      <c r="G161">
        <v>45.917999999999999</v>
      </c>
      <c r="H161">
        <v>49.1678</v>
      </c>
    </row>
    <row r="162" spans="1:8" x14ac:dyDescent="0.3">
      <c r="A162">
        <f t="shared" si="2"/>
        <v>161</v>
      </c>
      <c r="B162">
        <v>1</v>
      </c>
      <c r="C162">
        <v>10</v>
      </c>
      <c r="D162">
        <v>10</v>
      </c>
      <c r="E162">
        <v>0</v>
      </c>
      <c r="F162">
        <v>3.9253</v>
      </c>
      <c r="G162">
        <v>0.68799999999999994</v>
      </c>
      <c r="H162">
        <v>0</v>
      </c>
    </row>
    <row r="163" spans="1:8" x14ac:dyDescent="0.3">
      <c r="A163">
        <f t="shared" si="2"/>
        <v>162</v>
      </c>
      <c r="B163">
        <v>1</v>
      </c>
      <c r="C163">
        <v>10</v>
      </c>
      <c r="D163">
        <v>10</v>
      </c>
      <c r="E163">
        <v>10</v>
      </c>
      <c r="F163">
        <v>6.2092999999999998</v>
      </c>
      <c r="G163">
        <v>1.887</v>
      </c>
      <c r="H163">
        <v>0</v>
      </c>
    </row>
    <row r="164" spans="1:8" x14ac:dyDescent="0.3">
      <c r="A164">
        <f t="shared" si="2"/>
        <v>163</v>
      </c>
      <c r="B164">
        <v>1</v>
      </c>
      <c r="C164">
        <v>10</v>
      </c>
      <c r="D164">
        <v>10</v>
      </c>
      <c r="E164">
        <v>20</v>
      </c>
      <c r="F164">
        <v>10.1852</v>
      </c>
      <c r="G164">
        <v>4.6479999999999997</v>
      </c>
      <c r="H164">
        <v>0</v>
      </c>
    </row>
    <row r="165" spans="1:8" x14ac:dyDescent="0.3">
      <c r="A165">
        <f t="shared" si="2"/>
        <v>164</v>
      </c>
      <c r="B165">
        <v>1</v>
      </c>
      <c r="C165">
        <v>10</v>
      </c>
      <c r="D165">
        <v>10</v>
      </c>
      <c r="E165">
        <v>30</v>
      </c>
      <c r="F165">
        <v>18.538399999999999</v>
      </c>
      <c r="G165">
        <v>11.044</v>
      </c>
      <c r="H165">
        <v>7.2569999999999997</v>
      </c>
    </row>
    <row r="166" spans="1:8" x14ac:dyDescent="0.3">
      <c r="A166">
        <f t="shared" si="2"/>
        <v>165</v>
      </c>
      <c r="B166">
        <v>1</v>
      </c>
      <c r="C166">
        <v>10</v>
      </c>
      <c r="D166">
        <v>10</v>
      </c>
      <c r="E166">
        <v>40</v>
      </c>
      <c r="F166">
        <v>39.475000000000001</v>
      </c>
      <c r="G166">
        <v>34.627000000000002</v>
      </c>
      <c r="H166">
        <v>36.378999999999998</v>
      </c>
    </row>
    <row r="167" spans="1:8" x14ac:dyDescent="0.3">
      <c r="A167">
        <f t="shared" si="2"/>
        <v>166</v>
      </c>
      <c r="B167">
        <v>1</v>
      </c>
      <c r="C167">
        <v>10</v>
      </c>
      <c r="D167">
        <v>15</v>
      </c>
      <c r="E167">
        <v>0</v>
      </c>
      <c r="F167">
        <v>3.3193000000000001</v>
      </c>
      <c r="G167">
        <v>0.46300000000000002</v>
      </c>
      <c r="H167">
        <v>0</v>
      </c>
    </row>
    <row r="168" spans="1:8" x14ac:dyDescent="0.3">
      <c r="A168">
        <f t="shared" si="2"/>
        <v>167</v>
      </c>
      <c r="B168">
        <v>1</v>
      </c>
      <c r="C168">
        <v>10</v>
      </c>
      <c r="D168">
        <v>15</v>
      </c>
      <c r="E168">
        <v>10</v>
      </c>
      <c r="F168">
        <v>5.2843999999999998</v>
      </c>
      <c r="G168">
        <v>1.4410000000000001</v>
      </c>
      <c r="H168">
        <v>0</v>
      </c>
    </row>
    <row r="169" spans="1:8" x14ac:dyDescent="0.3">
      <c r="A169">
        <f t="shared" si="2"/>
        <v>168</v>
      </c>
      <c r="B169">
        <v>1</v>
      </c>
      <c r="C169">
        <v>10</v>
      </c>
      <c r="D169">
        <v>15</v>
      </c>
      <c r="E169">
        <v>20</v>
      </c>
      <c r="F169">
        <v>8.6237999999999992</v>
      </c>
      <c r="G169">
        <v>3.5449999999999999</v>
      </c>
      <c r="H169">
        <v>0</v>
      </c>
    </row>
    <row r="170" spans="1:8" x14ac:dyDescent="0.3">
      <c r="A170">
        <f t="shared" si="2"/>
        <v>169</v>
      </c>
      <c r="B170">
        <v>1</v>
      </c>
      <c r="C170">
        <v>10</v>
      </c>
      <c r="D170">
        <v>15</v>
      </c>
      <c r="E170">
        <v>30</v>
      </c>
      <c r="F170">
        <v>15.291600000000001</v>
      </c>
      <c r="G170">
        <v>9.2170000000000005</v>
      </c>
      <c r="H170">
        <v>5.3419999999999996</v>
      </c>
    </row>
    <row r="171" spans="1:8" x14ac:dyDescent="0.3">
      <c r="A171">
        <f t="shared" si="2"/>
        <v>170</v>
      </c>
      <c r="B171">
        <v>1</v>
      </c>
      <c r="C171">
        <v>10</v>
      </c>
      <c r="D171">
        <v>15</v>
      </c>
      <c r="E171">
        <v>40</v>
      </c>
      <c r="F171">
        <v>31.518699999999999</v>
      </c>
      <c r="G171">
        <v>26.442</v>
      </c>
      <c r="H171">
        <v>25.116</v>
      </c>
    </row>
    <row r="172" spans="1:8" x14ac:dyDescent="0.3">
      <c r="A172">
        <f t="shared" si="2"/>
        <v>171</v>
      </c>
      <c r="B172">
        <v>1</v>
      </c>
      <c r="C172">
        <v>10</v>
      </c>
      <c r="D172">
        <v>20</v>
      </c>
      <c r="E172">
        <v>0</v>
      </c>
      <c r="F172">
        <v>2.7040000000000002</v>
      </c>
      <c r="G172">
        <v>0.11899999999999999</v>
      </c>
      <c r="H172">
        <v>0</v>
      </c>
    </row>
    <row r="173" spans="1:8" x14ac:dyDescent="0.3">
      <c r="A173">
        <f t="shared" si="2"/>
        <v>172</v>
      </c>
      <c r="B173">
        <v>1</v>
      </c>
      <c r="C173">
        <v>10</v>
      </c>
      <c r="D173">
        <v>20</v>
      </c>
      <c r="E173">
        <v>10</v>
      </c>
      <c r="F173">
        <v>4.3045999999999998</v>
      </c>
      <c r="G173">
        <v>0.93700000000000006</v>
      </c>
      <c r="H173">
        <v>0</v>
      </c>
    </row>
    <row r="174" spans="1:8" x14ac:dyDescent="0.3">
      <c r="A174">
        <f t="shared" si="2"/>
        <v>173</v>
      </c>
      <c r="B174">
        <v>1</v>
      </c>
      <c r="C174">
        <v>10</v>
      </c>
      <c r="D174">
        <v>20</v>
      </c>
      <c r="E174">
        <v>20</v>
      </c>
      <c r="F174">
        <v>7.1425999999999998</v>
      </c>
      <c r="G174">
        <v>2.9449999999999998</v>
      </c>
      <c r="H174">
        <v>0</v>
      </c>
    </row>
    <row r="175" spans="1:8" x14ac:dyDescent="0.3">
      <c r="A175">
        <f t="shared" si="2"/>
        <v>174</v>
      </c>
      <c r="B175">
        <v>1</v>
      </c>
      <c r="C175">
        <v>10</v>
      </c>
      <c r="D175">
        <v>20</v>
      </c>
      <c r="E175">
        <v>30</v>
      </c>
      <c r="F175">
        <v>12.385400000000001</v>
      </c>
      <c r="G175">
        <v>7.2629999999999999</v>
      </c>
      <c r="H175">
        <v>1.7230000000000001</v>
      </c>
    </row>
    <row r="176" spans="1:8" x14ac:dyDescent="0.3">
      <c r="A176">
        <f t="shared" si="2"/>
        <v>175</v>
      </c>
      <c r="B176">
        <v>1</v>
      </c>
      <c r="C176">
        <v>10</v>
      </c>
      <c r="D176">
        <v>20</v>
      </c>
      <c r="E176">
        <v>40</v>
      </c>
      <c r="F176">
        <v>24.685700000000001</v>
      </c>
      <c r="G176">
        <v>21.25</v>
      </c>
      <c r="H176">
        <v>16.972999999999999</v>
      </c>
    </row>
    <row r="177" spans="1:8" x14ac:dyDescent="0.3">
      <c r="A177">
        <f t="shared" si="2"/>
        <v>176</v>
      </c>
      <c r="B177">
        <v>1</v>
      </c>
      <c r="C177">
        <v>20</v>
      </c>
      <c r="D177">
        <v>0</v>
      </c>
      <c r="E177">
        <v>0</v>
      </c>
      <c r="F177">
        <v>4.8163999999999998</v>
      </c>
      <c r="G177">
        <v>0.92800000000000005</v>
      </c>
      <c r="H177">
        <v>0</v>
      </c>
    </row>
    <row r="178" spans="1:8" x14ac:dyDescent="0.3">
      <c r="A178">
        <f t="shared" si="2"/>
        <v>177</v>
      </c>
      <c r="B178">
        <v>1</v>
      </c>
      <c r="C178">
        <v>20</v>
      </c>
      <c r="D178">
        <v>0</v>
      </c>
      <c r="E178">
        <v>10</v>
      </c>
      <c r="F178">
        <v>7.3981000000000003</v>
      </c>
      <c r="G178">
        <v>2.2789999999999999</v>
      </c>
      <c r="H178">
        <v>0</v>
      </c>
    </row>
    <row r="179" spans="1:8" x14ac:dyDescent="0.3">
      <c r="A179">
        <f t="shared" si="2"/>
        <v>178</v>
      </c>
      <c r="B179">
        <v>1</v>
      </c>
      <c r="C179">
        <v>20</v>
      </c>
      <c r="D179">
        <v>0</v>
      </c>
      <c r="E179">
        <v>20</v>
      </c>
      <c r="F179">
        <v>12.007300000000001</v>
      </c>
      <c r="G179">
        <v>5.4169999999999998</v>
      </c>
      <c r="H179">
        <v>1.2384999999999999</v>
      </c>
    </row>
    <row r="180" spans="1:8" x14ac:dyDescent="0.3">
      <c r="A180">
        <f t="shared" si="2"/>
        <v>179</v>
      </c>
      <c r="B180">
        <v>1</v>
      </c>
      <c r="C180">
        <v>20</v>
      </c>
      <c r="D180">
        <v>0</v>
      </c>
      <c r="E180">
        <v>30</v>
      </c>
      <c r="F180">
        <v>21.437100000000001</v>
      </c>
      <c r="G180">
        <v>13.185</v>
      </c>
      <c r="H180">
        <v>10.8147</v>
      </c>
    </row>
    <row r="181" spans="1:8" x14ac:dyDescent="0.3">
      <c r="A181">
        <f t="shared" si="2"/>
        <v>180</v>
      </c>
      <c r="B181">
        <v>1</v>
      </c>
      <c r="C181">
        <v>20</v>
      </c>
      <c r="D181">
        <v>0</v>
      </c>
      <c r="E181">
        <v>40</v>
      </c>
      <c r="F181">
        <v>44.321599999999997</v>
      </c>
      <c r="G181">
        <v>37.880000000000003</v>
      </c>
      <c r="H181">
        <v>47.261299999999999</v>
      </c>
    </row>
    <row r="182" spans="1:8" x14ac:dyDescent="0.3">
      <c r="A182">
        <f t="shared" si="2"/>
        <v>181</v>
      </c>
      <c r="B182">
        <v>1</v>
      </c>
      <c r="C182">
        <v>20</v>
      </c>
      <c r="D182">
        <v>5</v>
      </c>
      <c r="E182">
        <v>0</v>
      </c>
      <c r="F182">
        <v>4.4709000000000003</v>
      </c>
      <c r="G182">
        <v>0.95</v>
      </c>
      <c r="H182">
        <v>0</v>
      </c>
    </row>
    <row r="183" spans="1:8" x14ac:dyDescent="0.3">
      <c r="A183">
        <f t="shared" si="2"/>
        <v>182</v>
      </c>
      <c r="B183">
        <v>1</v>
      </c>
      <c r="C183">
        <v>20</v>
      </c>
      <c r="D183">
        <v>5</v>
      </c>
      <c r="E183">
        <v>10</v>
      </c>
      <c r="F183">
        <v>6.7789000000000001</v>
      </c>
      <c r="G183">
        <v>2.278</v>
      </c>
      <c r="H183">
        <v>0</v>
      </c>
    </row>
    <row r="184" spans="1:8" x14ac:dyDescent="0.3">
      <c r="A184">
        <f t="shared" si="2"/>
        <v>183</v>
      </c>
      <c r="B184">
        <v>1</v>
      </c>
      <c r="C184">
        <v>20</v>
      </c>
      <c r="D184">
        <v>5</v>
      </c>
      <c r="E184">
        <v>20</v>
      </c>
      <c r="F184">
        <v>10.8874</v>
      </c>
      <c r="G184">
        <v>4.8920000000000003</v>
      </c>
      <c r="H184">
        <v>0.98199999999999998</v>
      </c>
    </row>
    <row r="185" spans="1:8" x14ac:dyDescent="0.3">
      <c r="A185">
        <f t="shared" si="2"/>
        <v>184</v>
      </c>
      <c r="B185">
        <v>1</v>
      </c>
      <c r="C185">
        <v>20</v>
      </c>
      <c r="D185">
        <v>5</v>
      </c>
      <c r="E185">
        <v>30</v>
      </c>
      <c r="F185">
        <v>19.0976</v>
      </c>
      <c r="G185">
        <v>12.311</v>
      </c>
      <c r="H185">
        <v>9.0648</v>
      </c>
    </row>
    <row r="186" spans="1:8" x14ac:dyDescent="0.3">
      <c r="A186">
        <f t="shared" si="2"/>
        <v>185</v>
      </c>
      <c r="B186">
        <v>1</v>
      </c>
      <c r="C186">
        <v>20</v>
      </c>
      <c r="D186">
        <v>5</v>
      </c>
      <c r="E186">
        <v>40</v>
      </c>
      <c r="F186">
        <v>38.901000000000003</v>
      </c>
      <c r="G186">
        <v>32.924999999999997</v>
      </c>
      <c r="H186">
        <v>38.628</v>
      </c>
    </row>
    <row r="187" spans="1:8" x14ac:dyDescent="0.3">
      <c r="A187">
        <f t="shared" si="2"/>
        <v>186</v>
      </c>
      <c r="B187">
        <v>1</v>
      </c>
      <c r="C187">
        <v>20</v>
      </c>
      <c r="D187">
        <v>10</v>
      </c>
      <c r="E187">
        <v>0</v>
      </c>
      <c r="F187">
        <v>3.9243999999999999</v>
      </c>
      <c r="G187">
        <v>0.71399999999999997</v>
      </c>
      <c r="H187">
        <v>0</v>
      </c>
    </row>
    <row r="188" spans="1:8" x14ac:dyDescent="0.3">
      <c r="A188">
        <f t="shared" si="2"/>
        <v>187</v>
      </c>
      <c r="B188">
        <v>1</v>
      </c>
      <c r="C188">
        <v>20</v>
      </c>
      <c r="D188">
        <v>10</v>
      </c>
      <c r="E188">
        <v>10</v>
      </c>
      <c r="F188">
        <v>6.0297999999999998</v>
      </c>
      <c r="G188">
        <v>2.0070000000000001</v>
      </c>
      <c r="H188">
        <v>0</v>
      </c>
    </row>
    <row r="189" spans="1:8" x14ac:dyDescent="0.3">
      <c r="A189">
        <f t="shared" si="2"/>
        <v>188</v>
      </c>
      <c r="B189">
        <v>1</v>
      </c>
      <c r="C189">
        <v>20</v>
      </c>
      <c r="D189">
        <v>10</v>
      </c>
      <c r="E189">
        <v>20</v>
      </c>
      <c r="F189">
        <v>9.5022000000000002</v>
      </c>
      <c r="G189">
        <v>4.1529999999999996</v>
      </c>
      <c r="H189">
        <v>0</v>
      </c>
    </row>
    <row r="190" spans="1:8" x14ac:dyDescent="0.3">
      <c r="A190">
        <f t="shared" si="2"/>
        <v>189</v>
      </c>
      <c r="B190">
        <v>1</v>
      </c>
      <c r="C190">
        <v>20</v>
      </c>
      <c r="D190">
        <v>10</v>
      </c>
      <c r="E190">
        <v>30</v>
      </c>
      <c r="F190">
        <v>16.2559</v>
      </c>
      <c r="G190">
        <v>10.039999999999999</v>
      </c>
      <c r="H190">
        <v>7.0250000000000004</v>
      </c>
    </row>
    <row r="191" spans="1:8" x14ac:dyDescent="0.3">
      <c r="A191">
        <f t="shared" si="2"/>
        <v>190</v>
      </c>
      <c r="B191">
        <v>1</v>
      </c>
      <c r="C191">
        <v>20</v>
      </c>
      <c r="D191">
        <v>10</v>
      </c>
      <c r="E191">
        <v>40</v>
      </c>
      <c r="F191">
        <v>31.865400000000001</v>
      </c>
      <c r="G191">
        <v>27.419</v>
      </c>
      <c r="H191">
        <v>25.956299999999999</v>
      </c>
    </row>
    <row r="192" spans="1:8" x14ac:dyDescent="0.3">
      <c r="A192">
        <f t="shared" si="2"/>
        <v>191</v>
      </c>
      <c r="B192">
        <v>1</v>
      </c>
      <c r="C192">
        <v>20</v>
      </c>
      <c r="D192">
        <v>15</v>
      </c>
      <c r="E192">
        <v>0</v>
      </c>
      <c r="F192">
        <v>3.3256999999999999</v>
      </c>
      <c r="G192">
        <v>0.36099999999999999</v>
      </c>
      <c r="H192">
        <v>0</v>
      </c>
    </row>
    <row r="193" spans="1:8" x14ac:dyDescent="0.3">
      <c r="A193">
        <f t="shared" si="2"/>
        <v>192</v>
      </c>
      <c r="B193">
        <v>1</v>
      </c>
      <c r="C193">
        <v>20</v>
      </c>
      <c r="D193">
        <v>15</v>
      </c>
      <c r="E193">
        <v>10</v>
      </c>
      <c r="F193">
        <v>5.2751000000000001</v>
      </c>
      <c r="G193">
        <v>1.331</v>
      </c>
      <c r="H193">
        <v>0</v>
      </c>
    </row>
    <row r="194" spans="1:8" x14ac:dyDescent="0.3">
      <c r="A194">
        <f t="shared" si="2"/>
        <v>193</v>
      </c>
      <c r="B194">
        <v>1</v>
      </c>
      <c r="C194">
        <v>20</v>
      </c>
      <c r="D194">
        <v>15</v>
      </c>
      <c r="E194">
        <v>20</v>
      </c>
      <c r="F194">
        <v>8.1387999999999998</v>
      </c>
      <c r="G194">
        <v>3.6040000000000001</v>
      </c>
      <c r="H194">
        <v>0</v>
      </c>
    </row>
    <row r="195" spans="1:8" x14ac:dyDescent="0.3">
      <c r="A195">
        <f t="shared" si="2"/>
        <v>194</v>
      </c>
      <c r="B195">
        <v>1</v>
      </c>
      <c r="C195">
        <v>20</v>
      </c>
      <c r="D195">
        <v>15</v>
      </c>
      <c r="E195">
        <v>30</v>
      </c>
      <c r="F195">
        <v>13.5518</v>
      </c>
      <c r="G195">
        <v>8.7569999999999997</v>
      </c>
      <c r="H195">
        <v>5.1920000000000002</v>
      </c>
    </row>
    <row r="196" spans="1:8" x14ac:dyDescent="0.3">
      <c r="A196">
        <f t="shared" si="2"/>
        <v>195</v>
      </c>
      <c r="B196">
        <v>1</v>
      </c>
      <c r="C196">
        <v>20</v>
      </c>
      <c r="D196">
        <v>15</v>
      </c>
      <c r="E196">
        <v>40</v>
      </c>
      <c r="F196">
        <v>25.762599999999999</v>
      </c>
      <c r="G196">
        <v>20.603999999999999</v>
      </c>
      <c r="H196">
        <v>20.922000000000001</v>
      </c>
    </row>
    <row r="197" spans="1:8" x14ac:dyDescent="0.3">
      <c r="A197">
        <f t="shared" ref="A197:A260" si="3">A196+1</f>
        <v>196</v>
      </c>
      <c r="B197">
        <v>1</v>
      </c>
      <c r="C197">
        <v>20</v>
      </c>
      <c r="D197">
        <v>20</v>
      </c>
      <c r="E197">
        <v>0</v>
      </c>
      <c r="F197">
        <v>2.7086999999999999</v>
      </c>
      <c r="G197">
        <v>8.2000000000000003E-2</v>
      </c>
      <c r="H197">
        <v>0</v>
      </c>
    </row>
    <row r="198" spans="1:8" x14ac:dyDescent="0.3">
      <c r="A198">
        <f t="shared" si="3"/>
        <v>197</v>
      </c>
      <c r="B198">
        <v>1</v>
      </c>
      <c r="C198">
        <v>20</v>
      </c>
      <c r="D198">
        <v>20</v>
      </c>
      <c r="E198">
        <v>10</v>
      </c>
      <c r="F198">
        <v>4.3079999999999998</v>
      </c>
      <c r="G198">
        <v>0.86899999999999999</v>
      </c>
      <c r="H198">
        <v>0</v>
      </c>
    </row>
    <row r="199" spans="1:8" x14ac:dyDescent="0.3">
      <c r="A199">
        <f t="shared" si="3"/>
        <v>198</v>
      </c>
      <c r="B199">
        <v>1</v>
      </c>
      <c r="C199">
        <v>20</v>
      </c>
      <c r="D199">
        <v>20</v>
      </c>
      <c r="E199">
        <v>20</v>
      </c>
      <c r="F199">
        <v>6.8571999999999997</v>
      </c>
      <c r="G199">
        <v>2.863</v>
      </c>
      <c r="H199">
        <v>0</v>
      </c>
    </row>
    <row r="200" spans="1:8" x14ac:dyDescent="0.3">
      <c r="A200">
        <f t="shared" si="3"/>
        <v>199</v>
      </c>
      <c r="B200">
        <v>1</v>
      </c>
      <c r="C200">
        <v>20</v>
      </c>
      <c r="D200">
        <v>20</v>
      </c>
      <c r="E200">
        <v>30</v>
      </c>
      <c r="F200">
        <v>11.141400000000001</v>
      </c>
      <c r="G200">
        <v>6.835</v>
      </c>
      <c r="H200">
        <v>1.542</v>
      </c>
    </row>
    <row r="201" spans="1:8" x14ac:dyDescent="0.3">
      <c r="A201">
        <f t="shared" si="3"/>
        <v>200</v>
      </c>
      <c r="B201">
        <v>1</v>
      </c>
      <c r="C201">
        <v>20</v>
      </c>
      <c r="D201">
        <v>20</v>
      </c>
      <c r="E201">
        <v>40</v>
      </c>
      <c r="F201">
        <v>20.3873</v>
      </c>
      <c r="G201">
        <v>16.937000000000001</v>
      </c>
      <c r="H201">
        <v>14.484</v>
      </c>
    </row>
    <row r="202" spans="1:8" x14ac:dyDescent="0.3">
      <c r="A202">
        <f t="shared" si="3"/>
        <v>201</v>
      </c>
      <c r="B202">
        <v>1</v>
      </c>
      <c r="C202">
        <v>30</v>
      </c>
      <c r="D202">
        <v>0</v>
      </c>
      <c r="E202">
        <v>0</v>
      </c>
      <c r="F202">
        <v>4.6787000000000001</v>
      </c>
      <c r="G202">
        <v>1</v>
      </c>
      <c r="H202">
        <v>0</v>
      </c>
    </row>
    <row r="203" spans="1:8" x14ac:dyDescent="0.3">
      <c r="A203">
        <f t="shared" si="3"/>
        <v>202</v>
      </c>
      <c r="B203">
        <v>1</v>
      </c>
      <c r="C203">
        <v>30</v>
      </c>
      <c r="D203">
        <v>0</v>
      </c>
      <c r="E203">
        <v>10</v>
      </c>
      <c r="F203">
        <v>6.9565000000000001</v>
      </c>
      <c r="G203">
        <v>2.266</v>
      </c>
      <c r="H203">
        <v>0</v>
      </c>
    </row>
    <row r="204" spans="1:8" x14ac:dyDescent="0.3">
      <c r="A204">
        <f t="shared" si="3"/>
        <v>203</v>
      </c>
      <c r="B204">
        <v>1</v>
      </c>
      <c r="C204">
        <v>30</v>
      </c>
      <c r="D204">
        <v>0</v>
      </c>
      <c r="E204">
        <v>20</v>
      </c>
      <c r="F204">
        <v>10.826599999999999</v>
      </c>
      <c r="G204">
        <v>5.0540000000000003</v>
      </c>
      <c r="H204">
        <v>0</v>
      </c>
    </row>
    <row r="205" spans="1:8" x14ac:dyDescent="0.3">
      <c r="A205">
        <f t="shared" si="3"/>
        <v>204</v>
      </c>
      <c r="B205">
        <v>1</v>
      </c>
      <c r="C205">
        <v>30</v>
      </c>
      <c r="D205">
        <v>0</v>
      </c>
      <c r="E205">
        <v>30</v>
      </c>
      <c r="F205">
        <v>18.1568</v>
      </c>
      <c r="G205">
        <v>11.85</v>
      </c>
      <c r="H205">
        <v>0</v>
      </c>
    </row>
    <row r="206" spans="1:8" x14ac:dyDescent="0.3">
      <c r="A206">
        <f t="shared" si="3"/>
        <v>205</v>
      </c>
      <c r="B206">
        <v>1</v>
      </c>
      <c r="C206">
        <v>30</v>
      </c>
      <c r="D206">
        <v>0</v>
      </c>
      <c r="E206">
        <v>40</v>
      </c>
      <c r="F206">
        <v>34.636400000000002</v>
      </c>
      <c r="G206">
        <v>31.382000000000001</v>
      </c>
      <c r="H206">
        <v>31.189</v>
      </c>
    </row>
    <row r="207" spans="1:8" x14ac:dyDescent="0.3">
      <c r="A207">
        <f t="shared" si="3"/>
        <v>206</v>
      </c>
      <c r="B207">
        <v>1</v>
      </c>
      <c r="C207">
        <v>30</v>
      </c>
      <c r="D207">
        <v>5</v>
      </c>
      <c r="E207">
        <v>0</v>
      </c>
      <c r="F207">
        <v>4.3785999999999996</v>
      </c>
      <c r="G207">
        <v>0.93300000000000005</v>
      </c>
      <c r="H207">
        <v>0</v>
      </c>
    </row>
    <row r="208" spans="1:8" x14ac:dyDescent="0.3">
      <c r="A208">
        <f t="shared" si="3"/>
        <v>207</v>
      </c>
      <c r="B208">
        <v>1</v>
      </c>
      <c r="C208">
        <v>30</v>
      </c>
      <c r="D208">
        <v>5</v>
      </c>
      <c r="E208">
        <v>10</v>
      </c>
      <c r="F208">
        <v>6.4606000000000003</v>
      </c>
      <c r="G208">
        <v>2.0499999999999998</v>
      </c>
      <c r="H208">
        <v>0</v>
      </c>
    </row>
    <row r="209" spans="1:8" x14ac:dyDescent="0.3">
      <c r="A209">
        <f t="shared" si="3"/>
        <v>208</v>
      </c>
      <c r="B209">
        <v>1</v>
      </c>
      <c r="C209">
        <v>30</v>
      </c>
      <c r="D209">
        <v>5</v>
      </c>
      <c r="E209">
        <v>20</v>
      </c>
      <c r="F209">
        <v>9.9557000000000002</v>
      </c>
      <c r="G209">
        <v>4.5289999999999999</v>
      </c>
      <c r="H209">
        <v>0</v>
      </c>
    </row>
    <row r="210" spans="1:8" x14ac:dyDescent="0.3">
      <c r="A210">
        <f t="shared" si="3"/>
        <v>209</v>
      </c>
      <c r="B210">
        <v>1</v>
      </c>
      <c r="C210">
        <v>30</v>
      </c>
      <c r="D210">
        <v>5</v>
      </c>
      <c r="E210">
        <v>30</v>
      </c>
      <c r="F210">
        <v>16.572500000000002</v>
      </c>
      <c r="G210">
        <v>10.183999999999999</v>
      </c>
      <c r="H210">
        <v>0</v>
      </c>
    </row>
    <row r="211" spans="1:8" x14ac:dyDescent="0.3">
      <c r="A211">
        <f t="shared" si="3"/>
        <v>210</v>
      </c>
      <c r="B211">
        <v>1</v>
      </c>
      <c r="C211">
        <v>30</v>
      </c>
      <c r="D211">
        <v>5</v>
      </c>
      <c r="E211">
        <v>40</v>
      </c>
      <c r="F211">
        <v>31.172699999999999</v>
      </c>
      <c r="G211">
        <v>26.472999999999999</v>
      </c>
      <c r="H211">
        <v>27.969000000000001</v>
      </c>
    </row>
    <row r="212" spans="1:8" x14ac:dyDescent="0.3">
      <c r="A212">
        <f t="shared" si="3"/>
        <v>211</v>
      </c>
      <c r="B212">
        <v>1</v>
      </c>
      <c r="C212">
        <v>30</v>
      </c>
      <c r="D212">
        <v>10</v>
      </c>
      <c r="E212">
        <v>0</v>
      </c>
      <c r="F212">
        <v>3.9281000000000001</v>
      </c>
      <c r="G212">
        <v>0.69699999999999995</v>
      </c>
      <c r="H212">
        <v>0</v>
      </c>
    </row>
    <row r="213" spans="1:8" x14ac:dyDescent="0.3">
      <c r="A213">
        <f t="shared" si="3"/>
        <v>212</v>
      </c>
      <c r="B213">
        <v>1</v>
      </c>
      <c r="C213">
        <v>30</v>
      </c>
      <c r="D213">
        <v>10</v>
      </c>
      <c r="E213">
        <v>10</v>
      </c>
      <c r="F213">
        <v>5.7976999999999999</v>
      </c>
      <c r="G213">
        <v>1.81</v>
      </c>
      <c r="H213">
        <v>0</v>
      </c>
    </row>
    <row r="214" spans="1:8" x14ac:dyDescent="0.3">
      <c r="A214">
        <f t="shared" si="3"/>
        <v>213</v>
      </c>
      <c r="B214">
        <v>1</v>
      </c>
      <c r="C214">
        <v>30</v>
      </c>
      <c r="D214">
        <v>10</v>
      </c>
      <c r="E214">
        <v>20</v>
      </c>
      <c r="F214">
        <v>8.7621000000000002</v>
      </c>
      <c r="G214">
        <v>4.0170000000000003</v>
      </c>
      <c r="H214">
        <v>0</v>
      </c>
    </row>
    <row r="215" spans="1:8" x14ac:dyDescent="0.3">
      <c r="A215">
        <f t="shared" si="3"/>
        <v>214</v>
      </c>
      <c r="B215">
        <v>1</v>
      </c>
      <c r="C215">
        <v>30</v>
      </c>
      <c r="D215">
        <v>10</v>
      </c>
      <c r="E215">
        <v>30</v>
      </c>
      <c r="F215">
        <v>14.168699999999999</v>
      </c>
      <c r="G215">
        <v>8.9969999999999999</v>
      </c>
      <c r="H215">
        <v>0</v>
      </c>
    </row>
    <row r="216" spans="1:8" x14ac:dyDescent="0.3">
      <c r="A216">
        <f t="shared" si="3"/>
        <v>215</v>
      </c>
      <c r="B216">
        <v>1</v>
      </c>
      <c r="C216">
        <v>30</v>
      </c>
      <c r="D216">
        <v>10</v>
      </c>
      <c r="E216">
        <v>40</v>
      </c>
      <c r="F216">
        <v>25.6401</v>
      </c>
      <c r="G216">
        <v>23.152000000000001</v>
      </c>
      <c r="H216">
        <v>21.283999999999999</v>
      </c>
    </row>
    <row r="217" spans="1:8" x14ac:dyDescent="0.3">
      <c r="A217">
        <f t="shared" si="3"/>
        <v>216</v>
      </c>
      <c r="B217">
        <v>1</v>
      </c>
      <c r="C217">
        <v>30</v>
      </c>
      <c r="D217">
        <v>15</v>
      </c>
      <c r="E217">
        <v>0</v>
      </c>
      <c r="F217">
        <v>3.319</v>
      </c>
      <c r="G217">
        <v>0.44400000000000001</v>
      </c>
      <c r="H217">
        <v>0</v>
      </c>
    </row>
    <row r="218" spans="1:8" x14ac:dyDescent="0.3">
      <c r="A218">
        <f t="shared" si="3"/>
        <v>217</v>
      </c>
      <c r="B218">
        <v>1</v>
      </c>
      <c r="C218">
        <v>30</v>
      </c>
      <c r="D218">
        <v>15</v>
      </c>
      <c r="E218">
        <v>10</v>
      </c>
      <c r="F218">
        <v>5.1116999999999999</v>
      </c>
      <c r="G218">
        <v>1.48</v>
      </c>
      <c r="H218">
        <v>0</v>
      </c>
    </row>
    <row r="219" spans="1:8" x14ac:dyDescent="0.3">
      <c r="A219">
        <f t="shared" si="3"/>
        <v>218</v>
      </c>
      <c r="B219">
        <v>1</v>
      </c>
      <c r="C219">
        <v>30</v>
      </c>
      <c r="D219">
        <v>15</v>
      </c>
      <c r="E219">
        <v>20</v>
      </c>
      <c r="F219">
        <v>7.5867000000000004</v>
      </c>
      <c r="G219">
        <v>3.2690000000000001</v>
      </c>
      <c r="H219">
        <v>0</v>
      </c>
    </row>
    <row r="220" spans="1:8" x14ac:dyDescent="0.3">
      <c r="A220">
        <f t="shared" si="3"/>
        <v>219</v>
      </c>
      <c r="B220">
        <v>1</v>
      </c>
      <c r="C220">
        <v>30</v>
      </c>
      <c r="D220">
        <v>15</v>
      </c>
      <c r="E220">
        <v>30</v>
      </c>
      <c r="F220">
        <v>11.9672</v>
      </c>
      <c r="G220">
        <v>7.39</v>
      </c>
      <c r="H220">
        <v>0</v>
      </c>
    </row>
    <row r="221" spans="1:8" x14ac:dyDescent="0.3">
      <c r="A221">
        <f t="shared" si="3"/>
        <v>220</v>
      </c>
      <c r="B221">
        <v>1</v>
      </c>
      <c r="C221">
        <v>30</v>
      </c>
      <c r="D221">
        <v>15</v>
      </c>
      <c r="E221">
        <v>40</v>
      </c>
      <c r="F221">
        <v>20.924099999999999</v>
      </c>
      <c r="G221">
        <v>17.294</v>
      </c>
      <c r="H221">
        <v>15.731999999999999</v>
      </c>
    </row>
    <row r="222" spans="1:8" x14ac:dyDescent="0.3">
      <c r="A222">
        <f t="shared" si="3"/>
        <v>221</v>
      </c>
      <c r="B222">
        <v>1</v>
      </c>
      <c r="C222">
        <v>30</v>
      </c>
      <c r="D222">
        <v>20</v>
      </c>
      <c r="E222">
        <v>0</v>
      </c>
      <c r="F222">
        <v>2.7075</v>
      </c>
      <c r="G222">
        <v>0.14199999999999999</v>
      </c>
      <c r="H222">
        <v>0</v>
      </c>
    </row>
    <row r="223" spans="1:8" x14ac:dyDescent="0.3">
      <c r="A223">
        <f t="shared" si="3"/>
        <v>222</v>
      </c>
      <c r="B223">
        <v>1</v>
      </c>
      <c r="C223">
        <v>30</v>
      </c>
      <c r="D223">
        <v>20</v>
      </c>
      <c r="E223">
        <v>10</v>
      </c>
      <c r="F223">
        <v>4.2998000000000003</v>
      </c>
      <c r="G223">
        <v>0.90300000000000002</v>
      </c>
      <c r="H223">
        <v>0</v>
      </c>
    </row>
    <row r="224" spans="1:8" x14ac:dyDescent="0.3">
      <c r="A224">
        <f t="shared" si="3"/>
        <v>223</v>
      </c>
      <c r="B224">
        <v>1</v>
      </c>
      <c r="C224">
        <v>30</v>
      </c>
      <c r="D224">
        <v>20</v>
      </c>
      <c r="E224">
        <v>20</v>
      </c>
      <c r="F224">
        <v>6.4786000000000001</v>
      </c>
      <c r="G224">
        <v>2.8210000000000002</v>
      </c>
      <c r="H224">
        <v>0</v>
      </c>
    </row>
    <row r="225" spans="1:8" x14ac:dyDescent="0.3">
      <c r="A225">
        <f t="shared" si="3"/>
        <v>224</v>
      </c>
      <c r="B225">
        <v>1</v>
      </c>
      <c r="C225">
        <v>30</v>
      </c>
      <c r="D225">
        <v>20</v>
      </c>
      <c r="E225">
        <v>30</v>
      </c>
      <c r="F225">
        <v>9.9463000000000008</v>
      </c>
      <c r="G225">
        <v>6.0830000000000002</v>
      </c>
      <c r="H225">
        <v>0</v>
      </c>
    </row>
    <row r="226" spans="1:8" x14ac:dyDescent="0.3">
      <c r="A226">
        <f t="shared" si="3"/>
        <v>225</v>
      </c>
      <c r="B226">
        <v>1</v>
      </c>
      <c r="C226">
        <v>30</v>
      </c>
      <c r="D226">
        <v>20</v>
      </c>
      <c r="E226">
        <v>40</v>
      </c>
      <c r="F226">
        <v>16.852</v>
      </c>
      <c r="G226">
        <v>13.989000000000001</v>
      </c>
      <c r="H226">
        <v>11.382</v>
      </c>
    </row>
    <row r="227" spans="1:8" x14ac:dyDescent="0.3">
      <c r="A227">
        <f t="shared" si="3"/>
        <v>226</v>
      </c>
      <c r="B227">
        <v>1</v>
      </c>
      <c r="C227">
        <v>40</v>
      </c>
      <c r="D227">
        <v>0</v>
      </c>
      <c r="E227">
        <v>0</v>
      </c>
      <c r="F227">
        <v>4.5007000000000001</v>
      </c>
      <c r="G227">
        <v>1.0029999999999999</v>
      </c>
      <c r="H227">
        <v>0</v>
      </c>
    </row>
    <row r="228" spans="1:8" x14ac:dyDescent="0.3">
      <c r="A228">
        <f t="shared" si="3"/>
        <v>227</v>
      </c>
      <c r="B228">
        <v>1</v>
      </c>
      <c r="C228">
        <v>40</v>
      </c>
      <c r="D228">
        <v>0</v>
      </c>
      <c r="E228">
        <v>10</v>
      </c>
      <c r="F228">
        <v>6.4989999999999997</v>
      </c>
      <c r="G228">
        <v>2.2690000000000001</v>
      </c>
      <c r="H228">
        <v>0</v>
      </c>
    </row>
    <row r="229" spans="1:8" x14ac:dyDescent="0.3">
      <c r="A229">
        <f t="shared" si="3"/>
        <v>228</v>
      </c>
      <c r="B229">
        <v>1</v>
      </c>
      <c r="C229">
        <v>40</v>
      </c>
      <c r="D229">
        <v>0</v>
      </c>
      <c r="E229">
        <v>20</v>
      </c>
      <c r="F229">
        <v>9.7179000000000002</v>
      </c>
      <c r="G229">
        <v>4.5579999999999998</v>
      </c>
      <c r="H229">
        <v>0</v>
      </c>
    </row>
    <row r="230" spans="1:8" x14ac:dyDescent="0.3">
      <c r="A230">
        <f t="shared" si="3"/>
        <v>229</v>
      </c>
      <c r="B230">
        <v>1</v>
      </c>
      <c r="C230">
        <v>40</v>
      </c>
      <c r="D230">
        <v>0</v>
      </c>
      <c r="E230">
        <v>30</v>
      </c>
      <c r="F230">
        <v>15.4171</v>
      </c>
      <c r="G230">
        <v>9.7360000000000007</v>
      </c>
      <c r="H230">
        <v>0</v>
      </c>
    </row>
    <row r="231" spans="1:8" x14ac:dyDescent="0.3">
      <c r="A231">
        <f t="shared" si="3"/>
        <v>230</v>
      </c>
      <c r="B231">
        <v>1</v>
      </c>
      <c r="C231">
        <v>40</v>
      </c>
      <c r="D231">
        <v>0</v>
      </c>
      <c r="E231">
        <v>40</v>
      </c>
      <c r="F231">
        <v>27.107800000000001</v>
      </c>
      <c r="G231">
        <v>24.103000000000002</v>
      </c>
      <c r="H231">
        <v>0</v>
      </c>
    </row>
    <row r="232" spans="1:8" x14ac:dyDescent="0.3">
      <c r="A232">
        <f t="shared" si="3"/>
        <v>231</v>
      </c>
      <c r="B232">
        <v>1</v>
      </c>
      <c r="C232">
        <v>40</v>
      </c>
      <c r="D232">
        <v>5</v>
      </c>
      <c r="E232">
        <v>0</v>
      </c>
      <c r="F232">
        <v>4.2499000000000002</v>
      </c>
      <c r="G232">
        <v>0.98299999999999998</v>
      </c>
      <c r="H232">
        <v>0</v>
      </c>
    </row>
    <row r="233" spans="1:8" x14ac:dyDescent="0.3">
      <c r="A233">
        <f t="shared" si="3"/>
        <v>232</v>
      </c>
      <c r="B233">
        <v>1</v>
      </c>
      <c r="C233">
        <v>40</v>
      </c>
      <c r="D233">
        <v>5</v>
      </c>
      <c r="E233">
        <v>10</v>
      </c>
      <c r="F233">
        <v>6.0918000000000001</v>
      </c>
      <c r="G233">
        <v>2.0529999999999999</v>
      </c>
      <c r="H233">
        <v>0</v>
      </c>
    </row>
    <row r="234" spans="1:8" x14ac:dyDescent="0.3">
      <c r="A234">
        <f t="shared" si="3"/>
        <v>233</v>
      </c>
      <c r="B234">
        <v>1</v>
      </c>
      <c r="C234">
        <v>40</v>
      </c>
      <c r="D234">
        <v>5</v>
      </c>
      <c r="E234">
        <v>20</v>
      </c>
      <c r="F234">
        <v>9.0261999999999993</v>
      </c>
      <c r="G234">
        <v>4.1639999999999997</v>
      </c>
      <c r="H234">
        <v>0</v>
      </c>
    </row>
    <row r="235" spans="1:8" x14ac:dyDescent="0.3">
      <c r="A235">
        <f t="shared" si="3"/>
        <v>234</v>
      </c>
      <c r="B235">
        <v>1</v>
      </c>
      <c r="C235">
        <v>40</v>
      </c>
      <c r="D235">
        <v>5</v>
      </c>
      <c r="E235">
        <v>30</v>
      </c>
      <c r="F235">
        <v>14.2094</v>
      </c>
      <c r="G235">
        <v>9.1199999999999992</v>
      </c>
      <c r="H235">
        <v>0</v>
      </c>
    </row>
    <row r="236" spans="1:8" x14ac:dyDescent="0.3">
      <c r="A236">
        <f t="shared" si="3"/>
        <v>235</v>
      </c>
      <c r="B236">
        <v>1</v>
      </c>
      <c r="C236">
        <v>40</v>
      </c>
      <c r="D236">
        <v>5</v>
      </c>
      <c r="E236">
        <v>40</v>
      </c>
      <c r="F236">
        <v>24.716999999999999</v>
      </c>
      <c r="G236">
        <v>21.388999999999999</v>
      </c>
      <c r="H236">
        <v>0</v>
      </c>
    </row>
    <row r="237" spans="1:8" x14ac:dyDescent="0.3">
      <c r="A237">
        <f t="shared" si="3"/>
        <v>236</v>
      </c>
      <c r="B237">
        <v>1</v>
      </c>
      <c r="C237">
        <v>40</v>
      </c>
      <c r="D237">
        <v>10</v>
      </c>
      <c r="E237">
        <v>0</v>
      </c>
      <c r="F237">
        <v>3.8971</v>
      </c>
      <c r="G237">
        <v>0.73899999999999999</v>
      </c>
      <c r="H237">
        <v>0</v>
      </c>
    </row>
    <row r="238" spans="1:8" x14ac:dyDescent="0.3">
      <c r="A238">
        <f t="shared" si="3"/>
        <v>237</v>
      </c>
      <c r="B238">
        <v>1</v>
      </c>
      <c r="C238">
        <v>40</v>
      </c>
      <c r="D238">
        <v>10</v>
      </c>
      <c r="E238">
        <v>10</v>
      </c>
      <c r="F238">
        <v>5.5076999999999998</v>
      </c>
      <c r="G238">
        <v>1.806</v>
      </c>
      <c r="H238">
        <v>0</v>
      </c>
    </row>
    <row r="239" spans="1:8" x14ac:dyDescent="0.3">
      <c r="A239">
        <f t="shared" si="3"/>
        <v>238</v>
      </c>
      <c r="B239">
        <v>1</v>
      </c>
      <c r="C239">
        <v>40</v>
      </c>
      <c r="D239">
        <v>10</v>
      </c>
      <c r="E239">
        <v>20</v>
      </c>
      <c r="F239">
        <v>8.0190999999999999</v>
      </c>
      <c r="G239">
        <v>3.6539999999999999</v>
      </c>
      <c r="H239">
        <v>0</v>
      </c>
    </row>
    <row r="240" spans="1:8" x14ac:dyDescent="0.3">
      <c r="A240">
        <f t="shared" si="3"/>
        <v>239</v>
      </c>
      <c r="B240">
        <v>1</v>
      </c>
      <c r="C240">
        <v>40</v>
      </c>
      <c r="D240">
        <v>10</v>
      </c>
      <c r="E240">
        <v>30</v>
      </c>
      <c r="F240">
        <v>12.2667</v>
      </c>
      <c r="G240">
        <v>7.8250000000000002</v>
      </c>
      <c r="H240">
        <v>0</v>
      </c>
    </row>
    <row r="241" spans="1:8" x14ac:dyDescent="0.3">
      <c r="A241">
        <f t="shared" si="3"/>
        <v>240</v>
      </c>
      <c r="B241">
        <v>1</v>
      </c>
      <c r="C241">
        <v>40</v>
      </c>
      <c r="D241">
        <v>10</v>
      </c>
      <c r="E241">
        <v>40</v>
      </c>
      <c r="F241">
        <v>20.630500000000001</v>
      </c>
      <c r="G241">
        <v>18.521000000000001</v>
      </c>
      <c r="H241">
        <v>0</v>
      </c>
    </row>
    <row r="242" spans="1:8" x14ac:dyDescent="0.3">
      <c r="A242">
        <f t="shared" si="3"/>
        <v>241</v>
      </c>
      <c r="B242">
        <v>1</v>
      </c>
      <c r="C242">
        <v>40</v>
      </c>
      <c r="D242">
        <v>15</v>
      </c>
      <c r="E242">
        <v>0</v>
      </c>
      <c r="F242">
        <v>3.3169</v>
      </c>
      <c r="G242">
        <v>0.433</v>
      </c>
      <c r="H242">
        <v>0</v>
      </c>
    </row>
    <row r="243" spans="1:8" x14ac:dyDescent="0.3">
      <c r="A243">
        <f t="shared" si="3"/>
        <v>242</v>
      </c>
      <c r="B243">
        <v>1</v>
      </c>
      <c r="C243">
        <v>40</v>
      </c>
      <c r="D243">
        <v>15</v>
      </c>
      <c r="E243">
        <v>10</v>
      </c>
      <c r="F243">
        <v>4.8925000000000001</v>
      </c>
      <c r="G243">
        <v>1.552</v>
      </c>
      <c r="H243">
        <v>0</v>
      </c>
    </row>
    <row r="244" spans="1:8" x14ac:dyDescent="0.3">
      <c r="A244">
        <f t="shared" si="3"/>
        <v>243</v>
      </c>
      <c r="B244">
        <v>1</v>
      </c>
      <c r="C244">
        <v>40</v>
      </c>
      <c r="D244">
        <v>15</v>
      </c>
      <c r="E244">
        <v>20</v>
      </c>
      <c r="F244">
        <v>6.9911000000000003</v>
      </c>
      <c r="G244">
        <v>3.2290000000000001</v>
      </c>
      <c r="H244">
        <v>0</v>
      </c>
    </row>
    <row r="245" spans="1:8" x14ac:dyDescent="0.3">
      <c r="A245">
        <f t="shared" si="3"/>
        <v>244</v>
      </c>
      <c r="B245">
        <v>1</v>
      </c>
      <c r="C245">
        <v>40</v>
      </c>
      <c r="D245">
        <v>15</v>
      </c>
      <c r="E245">
        <v>30</v>
      </c>
      <c r="F245">
        <v>10.434200000000001</v>
      </c>
      <c r="G245">
        <v>6.5419999999999998</v>
      </c>
      <c r="H245">
        <v>0</v>
      </c>
    </row>
    <row r="246" spans="1:8" x14ac:dyDescent="0.3">
      <c r="A246">
        <f t="shared" si="3"/>
        <v>245</v>
      </c>
      <c r="B246">
        <v>1</v>
      </c>
      <c r="C246">
        <v>40</v>
      </c>
      <c r="D246">
        <v>15</v>
      </c>
      <c r="E246">
        <v>40</v>
      </c>
      <c r="F246">
        <v>16.961600000000001</v>
      </c>
      <c r="G246">
        <v>14.43</v>
      </c>
      <c r="H246">
        <v>0</v>
      </c>
    </row>
    <row r="247" spans="1:8" x14ac:dyDescent="0.3">
      <c r="A247">
        <f t="shared" si="3"/>
        <v>246</v>
      </c>
      <c r="B247">
        <v>1</v>
      </c>
      <c r="C247">
        <v>40</v>
      </c>
      <c r="D247">
        <v>20</v>
      </c>
      <c r="E247">
        <v>0</v>
      </c>
      <c r="F247">
        <v>2.702</v>
      </c>
      <c r="G247">
        <v>0.12</v>
      </c>
      <c r="H247">
        <v>0</v>
      </c>
    </row>
    <row r="248" spans="1:8" x14ac:dyDescent="0.3">
      <c r="A248">
        <f t="shared" si="3"/>
        <v>247</v>
      </c>
      <c r="B248">
        <v>1</v>
      </c>
      <c r="C248">
        <v>40</v>
      </c>
      <c r="D248">
        <v>20</v>
      </c>
      <c r="E248">
        <v>10</v>
      </c>
      <c r="F248">
        <v>4.2805</v>
      </c>
      <c r="G248">
        <v>0.98899999999999999</v>
      </c>
      <c r="H248">
        <v>0</v>
      </c>
    </row>
    <row r="249" spans="1:8" x14ac:dyDescent="0.3">
      <c r="A249">
        <f t="shared" si="3"/>
        <v>248</v>
      </c>
      <c r="B249">
        <v>1</v>
      </c>
      <c r="C249">
        <v>40</v>
      </c>
      <c r="D249">
        <v>20</v>
      </c>
      <c r="E249">
        <v>20</v>
      </c>
      <c r="F249">
        <v>6.0290999999999997</v>
      </c>
      <c r="G249">
        <v>2.649</v>
      </c>
      <c r="H249">
        <v>0</v>
      </c>
    </row>
    <row r="250" spans="1:8" x14ac:dyDescent="0.3">
      <c r="A250">
        <f t="shared" si="3"/>
        <v>249</v>
      </c>
      <c r="B250">
        <v>1</v>
      </c>
      <c r="C250">
        <v>40</v>
      </c>
      <c r="D250">
        <v>20</v>
      </c>
      <c r="E250">
        <v>30</v>
      </c>
      <c r="F250">
        <v>8.7866</v>
      </c>
      <c r="G250">
        <v>5.585</v>
      </c>
      <c r="H250">
        <v>0</v>
      </c>
    </row>
    <row r="251" spans="1:8" x14ac:dyDescent="0.3">
      <c r="A251">
        <f t="shared" si="3"/>
        <v>250</v>
      </c>
      <c r="B251">
        <v>1</v>
      </c>
      <c r="C251">
        <v>40</v>
      </c>
      <c r="D251">
        <v>20</v>
      </c>
      <c r="E251">
        <v>40</v>
      </c>
      <c r="F251">
        <v>13.818899999999999</v>
      </c>
      <c r="G251">
        <v>11.228</v>
      </c>
      <c r="H251">
        <v>0</v>
      </c>
    </row>
    <row r="252" spans="1:8" x14ac:dyDescent="0.3">
      <c r="A252">
        <f t="shared" si="3"/>
        <v>251</v>
      </c>
      <c r="B252">
        <v>2</v>
      </c>
      <c r="C252">
        <v>0</v>
      </c>
      <c r="D252">
        <v>0</v>
      </c>
      <c r="E252">
        <v>0</v>
      </c>
      <c r="F252">
        <v>4.9782999999999999</v>
      </c>
      <c r="G252">
        <v>0.98699999999999999</v>
      </c>
      <c r="H252">
        <v>0</v>
      </c>
    </row>
    <row r="253" spans="1:8" x14ac:dyDescent="0.3">
      <c r="A253">
        <f t="shared" si="3"/>
        <v>252</v>
      </c>
      <c r="B253">
        <v>2</v>
      </c>
      <c r="C253">
        <v>0</v>
      </c>
      <c r="D253">
        <v>0</v>
      </c>
      <c r="E253">
        <v>10</v>
      </c>
      <c r="F253">
        <v>8.14</v>
      </c>
      <c r="G253">
        <v>2.5630000000000002</v>
      </c>
      <c r="H253">
        <v>1.6020000000000001</v>
      </c>
    </row>
    <row r="254" spans="1:8" x14ac:dyDescent="0.3">
      <c r="A254">
        <f t="shared" si="3"/>
        <v>253</v>
      </c>
      <c r="B254">
        <v>2</v>
      </c>
      <c r="C254">
        <v>0</v>
      </c>
      <c r="D254">
        <v>0</v>
      </c>
      <c r="E254">
        <v>20</v>
      </c>
      <c r="F254">
        <v>14.552300000000001</v>
      </c>
      <c r="G254">
        <f>152-145.523</f>
        <v>6.4770000000000039</v>
      </c>
      <c r="H254">
        <v>2.9350000000000001</v>
      </c>
    </row>
    <row r="255" spans="1:8" x14ac:dyDescent="0.3">
      <c r="A255">
        <f t="shared" si="3"/>
        <v>254</v>
      </c>
      <c r="B255">
        <v>2</v>
      </c>
      <c r="C255">
        <v>0</v>
      </c>
      <c r="D255">
        <v>0</v>
      </c>
      <c r="E255">
        <v>30</v>
      </c>
      <c r="F255">
        <v>29.528400000000001</v>
      </c>
      <c r="G255">
        <f>313.498-295.284</f>
        <v>18.213999999999999</v>
      </c>
      <c r="H255">
        <v>14.13</v>
      </c>
    </row>
    <row r="256" spans="1:8" x14ac:dyDescent="0.3">
      <c r="A256">
        <f t="shared" si="3"/>
        <v>255</v>
      </c>
      <c r="B256">
        <v>2</v>
      </c>
      <c r="C256">
        <v>0</v>
      </c>
      <c r="D256">
        <v>0</v>
      </c>
      <c r="E256">
        <v>40</v>
      </c>
      <c r="F256">
        <v>73.069100000000006</v>
      </c>
      <c r="G256">
        <f>792.423-730.691</f>
        <v>61.731999999999971</v>
      </c>
      <c r="H256">
        <v>80.325999999999993</v>
      </c>
    </row>
    <row r="257" spans="1:8" x14ac:dyDescent="0.3">
      <c r="A257">
        <f t="shared" si="3"/>
        <v>256</v>
      </c>
      <c r="B257">
        <v>2</v>
      </c>
      <c r="C257">
        <v>0</v>
      </c>
      <c r="D257">
        <v>5</v>
      </c>
      <c r="E257">
        <v>0</v>
      </c>
      <c r="F257">
        <v>4.4984000000000002</v>
      </c>
      <c r="G257">
        <v>0.88900000000000001</v>
      </c>
      <c r="H257">
        <v>0</v>
      </c>
    </row>
    <row r="258" spans="1:8" x14ac:dyDescent="0.3">
      <c r="A258">
        <f t="shared" si="3"/>
        <v>257</v>
      </c>
      <c r="B258">
        <v>2</v>
      </c>
      <c r="C258">
        <v>0</v>
      </c>
      <c r="D258">
        <v>5</v>
      </c>
      <c r="E258">
        <v>10</v>
      </c>
      <c r="F258">
        <v>7.2698999999999998</v>
      </c>
      <c r="G258">
        <v>2.173</v>
      </c>
      <c r="H258">
        <v>0</v>
      </c>
    </row>
    <row r="259" spans="1:8" x14ac:dyDescent="0.3">
      <c r="A259">
        <f t="shared" si="3"/>
        <v>258</v>
      </c>
      <c r="B259">
        <v>2</v>
      </c>
      <c r="C259">
        <v>0</v>
      </c>
      <c r="D259">
        <v>5</v>
      </c>
      <c r="E259">
        <v>20</v>
      </c>
      <c r="F259">
        <v>12.763299999999999</v>
      </c>
      <c r="G259">
        <v>5.6459999999999999</v>
      </c>
      <c r="H259">
        <v>2.113</v>
      </c>
    </row>
    <row r="260" spans="1:8" x14ac:dyDescent="0.3">
      <c r="A260">
        <f t="shared" si="3"/>
        <v>259</v>
      </c>
      <c r="B260">
        <v>2</v>
      </c>
      <c r="C260">
        <v>0</v>
      </c>
      <c r="D260">
        <v>5</v>
      </c>
      <c r="E260">
        <v>30</v>
      </c>
      <c r="F260">
        <v>25.369299999999999</v>
      </c>
      <c r="G260">
        <v>15.584</v>
      </c>
      <c r="H260">
        <v>11.057600000000001</v>
      </c>
    </row>
    <row r="261" spans="1:8" x14ac:dyDescent="0.3">
      <c r="A261">
        <f t="shared" ref="A261:A324" si="4">A260+1</f>
        <v>260</v>
      </c>
      <c r="B261">
        <v>2</v>
      </c>
      <c r="C261">
        <v>0</v>
      </c>
      <c r="D261">
        <v>5</v>
      </c>
      <c r="E261">
        <v>40</v>
      </c>
      <c r="F261">
        <v>61.029000000000003</v>
      </c>
      <c r="G261">
        <v>52.65</v>
      </c>
      <c r="H261">
        <v>61.658000000000001</v>
      </c>
    </row>
    <row r="262" spans="1:8" x14ac:dyDescent="0.3">
      <c r="A262">
        <f t="shared" si="4"/>
        <v>261</v>
      </c>
      <c r="B262">
        <v>2</v>
      </c>
      <c r="C262">
        <v>0</v>
      </c>
      <c r="D262">
        <v>10</v>
      </c>
      <c r="E262">
        <v>0</v>
      </c>
      <c r="F262">
        <v>3.9363000000000001</v>
      </c>
      <c r="G262">
        <v>0.70899999999999996</v>
      </c>
      <c r="H262">
        <v>0</v>
      </c>
    </row>
    <row r="263" spans="1:8" x14ac:dyDescent="0.3">
      <c r="A263">
        <f t="shared" si="4"/>
        <v>262</v>
      </c>
      <c r="B263">
        <v>2</v>
      </c>
      <c r="C263">
        <v>0</v>
      </c>
      <c r="D263">
        <v>10</v>
      </c>
      <c r="E263">
        <v>10</v>
      </c>
      <c r="F263">
        <v>6.3010999999999999</v>
      </c>
      <c r="G263">
        <v>1.8109999999999999</v>
      </c>
      <c r="H263">
        <v>0</v>
      </c>
    </row>
    <row r="264" spans="1:8" x14ac:dyDescent="0.3">
      <c r="A264">
        <f t="shared" si="4"/>
        <v>263</v>
      </c>
      <c r="B264">
        <v>2</v>
      </c>
      <c r="C264">
        <v>0</v>
      </c>
      <c r="D264">
        <v>10</v>
      </c>
      <c r="E264">
        <v>20</v>
      </c>
      <c r="F264">
        <v>10.8926</v>
      </c>
      <c r="G264">
        <v>4.6130000000000004</v>
      </c>
      <c r="H264">
        <v>0</v>
      </c>
    </row>
    <row r="265" spans="1:8" x14ac:dyDescent="0.3">
      <c r="A265">
        <f t="shared" si="4"/>
        <v>264</v>
      </c>
      <c r="B265">
        <v>2</v>
      </c>
      <c r="C265">
        <v>0</v>
      </c>
      <c r="D265">
        <v>10</v>
      </c>
      <c r="E265">
        <v>30</v>
      </c>
      <c r="F265">
        <v>21.150099999999998</v>
      </c>
      <c r="G265">
        <v>12.76</v>
      </c>
      <c r="H265">
        <v>8.1950000000000003</v>
      </c>
    </row>
    <row r="266" spans="1:8" x14ac:dyDescent="0.3">
      <c r="A266">
        <f t="shared" si="4"/>
        <v>265</v>
      </c>
      <c r="B266">
        <v>2</v>
      </c>
      <c r="C266">
        <v>0</v>
      </c>
      <c r="D266">
        <v>10</v>
      </c>
      <c r="E266">
        <v>40</v>
      </c>
      <c r="F266">
        <v>49.336599999999997</v>
      </c>
      <c r="G266">
        <v>41.927999999999997</v>
      </c>
      <c r="H266">
        <v>44.015999999999998</v>
      </c>
    </row>
    <row r="267" spans="1:8" x14ac:dyDescent="0.3">
      <c r="A267">
        <f t="shared" si="4"/>
        <v>266</v>
      </c>
      <c r="B267">
        <v>2</v>
      </c>
      <c r="C267">
        <v>0</v>
      </c>
      <c r="D267">
        <v>15</v>
      </c>
      <c r="E267">
        <v>0</v>
      </c>
      <c r="F267">
        <v>3.3281999999999998</v>
      </c>
      <c r="G267">
        <v>0.48399999999999999</v>
      </c>
      <c r="H267">
        <v>0</v>
      </c>
    </row>
    <row r="268" spans="1:8" x14ac:dyDescent="0.3">
      <c r="A268">
        <f t="shared" si="4"/>
        <v>267</v>
      </c>
      <c r="B268">
        <v>2</v>
      </c>
      <c r="C268">
        <v>0</v>
      </c>
      <c r="D268">
        <v>15</v>
      </c>
      <c r="E268">
        <v>10</v>
      </c>
      <c r="F268">
        <v>5.2998000000000003</v>
      </c>
      <c r="G268">
        <v>1.387</v>
      </c>
      <c r="H268">
        <v>0</v>
      </c>
    </row>
    <row r="269" spans="1:8" x14ac:dyDescent="0.3">
      <c r="A269">
        <f t="shared" si="4"/>
        <v>268</v>
      </c>
      <c r="B269">
        <v>2</v>
      </c>
      <c r="C269">
        <v>0</v>
      </c>
      <c r="D269">
        <v>15</v>
      </c>
      <c r="E269">
        <v>20</v>
      </c>
      <c r="F269">
        <v>9.0496999999999996</v>
      </c>
      <c r="G269">
        <v>3.7749999999999999</v>
      </c>
      <c r="H269">
        <v>0</v>
      </c>
    </row>
    <row r="270" spans="1:8" x14ac:dyDescent="0.3">
      <c r="A270">
        <f t="shared" si="4"/>
        <v>269</v>
      </c>
      <c r="B270">
        <v>2</v>
      </c>
      <c r="C270">
        <v>0</v>
      </c>
      <c r="D270">
        <v>15</v>
      </c>
      <c r="E270">
        <v>30</v>
      </c>
      <c r="F270">
        <v>17.226099999999999</v>
      </c>
      <c r="G270">
        <v>10.308999999999999</v>
      </c>
      <c r="H270">
        <v>5.6459999999999999</v>
      </c>
    </row>
    <row r="271" spans="1:8" x14ac:dyDescent="0.3">
      <c r="A271">
        <f t="shared" si="4"/>
        <v>270</v>
      </c>
      <c r="B271">
        <v>2</v>
      </c>
      <c r="C271">
        <v>0</v>
      </c>
      <c r="D271">
        <v>15</v>
      </c>
      <c r="E271">
        <v>40</v>
      </c>
      <c r="F271">
        <v>38.8919</v>
      </c>
      <c r="G271">
        <v>33.006</v>
      </c>
      <c r="H271">
        <v>30.029699999999998</v>
      </c>
    </row>
    <row r="272" spans="1:8" x14ac:dyDescent="0.3">
      <c r="A272">
        <f t="shared" si="4"/>
        <v>271</v>
      </c>
      <c r="B272">
        <v>2</v>
      </c>
      <c r="C272">
        <v>0</v>
      </c>
      <c r="D272">
        <v>20</v>
      </c>
      <c r="E272">
        <v>0</v>
      </c>
      <c r="F272">
        <v>2.7081</v>
      </c>
      <c r="G272">
        <v>0.187</v>
      </c>
      <c r="H272">
        <v>0</v>
      </c>
    </row>
    <row r="273" spans="1:8" x14ac:dyDescent="0.3">
      <c r="A273">
        <f t="shared" si="4"/>
        <v>272</v>
      </c>
      <c r="B273">
        <v>2</v>
      </c>
      <c r="C273">
        <v>0</v>
      </c>
      <c r="D273">
        <v>20</v>
      </c>
      <c r="E273">
        <v>10</v>
      </c>
      <c r="F273">
        <v>4.3150000000000004</v>
      </c>
      <c r="G273">
        <v>0.96699999999999997</v>
      </c>
      <c r="H273">
        <v>0</v>
      </c>
    </row>
    <row r="274" spans="1:8" x14ac:dyDescent="0.3">
      <c r="A274">
        <f t="shared" si="4"/>
        <v>273</v>
      </c>
      <c r="B274">
        <v>2</v>
      </c>
      <c r="C274">
        <v>0</v>
      </c>
      <c r="D274">
        <v>20</v>
      </c>
      <c r="E274">
        <v>20</v>
      </c>
      <c r="F274">
        <v>7.3061999999999996</v>
      </c>
      <c r="G274">
        <v>2.85</v>
      </c>
      <c r="H274">
        <v>0</v>
      </c>
    </row>
    <row r="275" spans="1:8" x14ac:dyDescent="0.3">
      <c r="A275">
        <f t="shared" si="4"/>
        <v>274</v>
      </c>
      <c r="B275">
        <v>2</v>
      </c>
      <c r="C275">
        <v>0</v>
      </c>
      <c r="D275">
        <v>20</v>
      </c>
      <c r="E275">
        <v>30</v>
      </c>
      <c r="F275">
        <v>13.6746</v>
      </c>
      <c r="G275">
        <v>8.0679999999999996</v>
      </c>
      <c r="H275">
        <v>1.9970000000000001</v>
      </c>
    </row>
    <row r="276" spans="1:8" x14ac:dyDescent="0.3">
      <c r="A276">
        <f t="shared" si="4"/>
        <v>275</v>
      </c>
      <c r="B276">
        <v>2</v>
      </c>
      <c r="C276">
        <v>0</v>
      </c>
      <c r="D276">
        <v>20</v>
      </c>
      <c r="E276">
        <v>40</v>
      </c>
      <c r="F276">
        <v>30.049600000000002</v>
      </c>
      <c r="G276">
        <v>25.094999999999999</v>
      </c>
      <c r="H276">
        <v>19.405000000000001</v>
      </c>
    </row>
    <row r="277" spans="1:8" x14ac:dyDescent="0.3">
      <c r="A277">
        <f t="shared" si="4"/>
        <v>276</v>
      </c>
      <c r="B277">
        <v>2</v>
      </c>
      <c r="C277">
        <v>10</v>
      </c>
      <c r="D277">
        <v>0</v>
      </c>
      <c r="E277">
        <v>0</v>
      </c>
      <c r="F277">
        <v>4.9584000000000001</v>
      </c>
      <c r="G277">
        <v>0.998</v>
      </c>
      <c r="H277">
        <v>0</v>
      </c>
    </row>
    <row r="278" spans="1:8" x14ac:dyDescent="0.3">
      <c r="A278">
        <f t="shared" si="4"/>
        <v>277</v>
      </c>
      <c r="B278">
        <v>2</v>
      </c>
      <c r="C278">
        <v>10</v>
      </c>
      <c r="D278">
        <v>0</v>
      </c>
      <c r="E278">
        <v>10</v>
      </c>
      <c r="F278">
        <v>8.1288</v>
      </c>
      <c r="G278">
        <v>2.4119999999999999</v>
      </c>
      <c r="H278">
        <v>1.103</v>
      </c>
    </row>
    <row r="279" spans="1:8" x14ac:dyDescent="0.3">
      <c r="A279">
        <f t="shared" si="4"/>
        <v>278</v>
      </c>
      <c r="B279">
        <v>2</v>
      </c>
      <c r="C279">
        <v>10</v>
      </c>
      <c r="D279">
        <v>0</v>
      </c>
      <c r="E279">
        <v>20</v>
      </c>
      <c r="F279">
        <v>13.925000000000001</v>
      </c>
      <c r="G279">
        <v>6.11</v>
      </c>
      <c r="H279">
        <v>1.415</v>
      </c>
    </row>
    <row r="280" spans="1:8" x14ac:dyDescent="0.3">
      <c r="A280">
        <f t="shared" si="4"/>
        <v>279</v>
      </c>
      <c r="B280">
        <v>2</v>
      </c>
      <c r="C280">
        <v>10</v>
      </c>
      <c r="D280">
        <v>0</v>
      </c>
      <c r="E280">
        <v>30</v>
      </c>
      <c r="F280">
        <v>26.293099999999999</v>
      </c>
      <c r="G280">
        <v>16.27</v>
      </c>
      <c r="H280">
        <v>13.222</v>
      </c>
    </row>
    <row r="281" spans="1:8" x14ac:dyDescent="0.3">
      <c r="A281">
        <f t="shared" si="4"/>
        <v>280</v>
      </c>
      <c r="B281">
        <v>2</v>
      </c>
      <c r="C281">
        <v>10</v>
      </c>
      <c r="D281">
        <v>0</v>
      </c>
      <c r="E281">
        <v>40</v>
      </c>
      <c r="F281">
        <v>58.953800000000001</v>
      </c>
      <c r="G281">
        <v>51.99</v>
      </c>
      <c r="H281">
        <v>68.328000000000003</v>
      </c>
    </row>
    <row r="282" spans="1:8" x14ac:dyDescent="0.3">
      <c r="A282">
        <f t="shared" si="4"/>
        <v>281</v>
      </c>
      <c r="B282">
        <v>2</v>
      </c>
      <c r="C282">
        <v>10</v>
      </c>
      <c r="D282">
        <v>5</v>
      </c>
      <c r="E282">
        <v>0</v>
      </c>
      <c r="F282">
        <v>4.4917999999999996</v>
      </c>
      <c r="G282">
        <v>0.75900000000000001</v>
      </c>
      <c r="H282">
        <v>0</v>
      </c>
    </row>
    <row r="283" spans="1:8" x14ac:dyDescent="0.3">
      <c r="A283">
        <f t="shared" si="4"/>
        <v>282</v>
      </c>
      <c r="B283">
        <v>2</v>
      </c>
      <c r="C283">
        <v>10</v>
      </c>
      <c r="D283">
        <v>5</v>
      </c>
      <c r="E283">
        <v>10</v>
      </c>
      <c r="F283">
        <v>7.2352999999999996</v>
      </c>
      <c r="G283">
        <v>2.3010000000000002</v>
      </c>
      <c r="H283">
        <v>0</v>
      </c>
    </row>
    <row r="284" spans="1:8" x14ac:dyDescent="0.3">
      <c r="A284">
        <f t="shared" si="4"/>
        <v>283</v>
      </c>
      <c r="B284">
        <v>2</v>
      </c>
      <c r="C284">
        <v>10</v>
      </c>
      <c r="D284">
        <v>5</v>
      </c>
      <c r="E284">
        <v>20</v>
      </c>
      <c r="F284">
        <v>12.466699999999999</v>
      </c>
      <c r="G284">
        <v>5.2350000000000003</v>
      </c>
      <c r="H284">
        <v>0</v>
      </c>
    </row>
    <row r="285" spans="1:8" x14ac:dyDescent="0.3">
      <c r="A285">
        <f t="shared" si="4"/>
        <v>284</v>
      </c>
      <c r="B285">
        <v>2</v>
      </c>
      <c r="C285">
        <v>10</v>
      </c>
      <c r="D285">
        <v>5</v>
      </c>
      <c r="E285">
        <v>30</v>
      </c>
      <c r="F285">
        <v>23.050799999999999</v>
      </c>
      <c r="G285">
        <v>14.507</v>
      </c>
      <c r="H285">
        <v>10.4847</v>
      </c>
    </row>
    <row r="286" spans="1:8" x14ac:dyDescent="0.3">
      <c r="A286">
        <f t="shared" si="4"/>
        <v>285</v>
      </c>
      <c r="B286">
        <v>2</v>
      </c>
      <c r="C286">
        <v>10</v>
      </c>
      <c r="D286">
        <v>5</v>
      </c>
      <c r="E286">
        <v>40</v>
      </c>
      <c r="F286">
        <v>50.504600000000003</v>
      </c>
      <c r="G286">
        <v>42.53</v>
      </c>
      <c r="H286">
        <v>55.015999999999998</v>
      </c>
    </row>
    <row r="287" spans="1:8" x14ac:dyDescent="0.3">
      <c r="A287">
        <f t="shared" si="4"/>
        <v>286</v>
      </c>
      <c r="B287">
        <v>2</v>
      </c>
      <c r="C287">
        <v>10</v>
      </c>
      <c r="D287">
        <v>10</v>
      </c>
      <c r="E287">
        <v>0</v>
      </c>
      <c r="F287">
        <v>3.9199000000000002</v>
      </c>
      <c r="G287">
        <v>0.73299999999999998</v>
      </c>
      <c r="H287">
        <v>0</v>
      </c>
    </row>
    <row r="288" spans="1:8" x14ac:dyDescent="0.3">
      <c r="A288">
        <f t="shared" si="4"/>
        <v>287</v>
      </c>
      <c r="B288">
        <v>2</v>
      </c>
      <c r="C288">
        <v>10</v>
      </c>
      <c r="D288">
        <v>10</v>
      </c>
      <c r="E288">
        <v>10</v>
      </c>
      <c r="F288">
        <v>6.282</v>
      </c>
      <c r="G288">
        <v>1.9279999999999999</v>
      </c>
      <c r="H288">
        <v>0</v>
      </c>
    </row>
    <row r="289" spans="1:8" x14ac:dyDescent="0.3">
      <c r="A289">
        <f t="shared" si="4"/>
        <v>288</v>
      </c>
      <c r="B289">
        <v>2</v>
      </c>
      <c r="C289">
        <v>10</v>
      </c>
      <c r="D289">
        <v>10</v>
      </c>
      <c r="E289">
        <v>20</v>
      </c>
      <c r="F289">
        <v>10.8401</v>
      </c>
      <c r="G289">
        <v>4.59</v>
      </c>
      <c r="H289">
        <v>0</v>
      </c>
    </row>
    <row r="290" spans="1:8" x14ac:dyDescent="0.3">
      <c r="A290">
        <f t="shared" si="4"/>
        <v>289</v>
      </c>
      <c r="B290">
        <v>2</v>
      </c>
      <c r="C290">
        <v>10</v>
      </c>
      <c r="D290">
        <v>10</v>
      </c>
      <c r="E290">
        <v>30</v>
      </c>
      <c r="F290">
        <v>19.5884</v>
      </c>
      <c r="G290">
        <v>11.878</v>
      </c>
      <c r="H290">
        <v>7.7779999999999996</v>
      </c>
    </row>
    <row r="291" spans="1:8" x14ac:dyDescent="0.3">
      <c r="A291">
        <f t="shared" si="4"/>
        <v>290</v>
      </c>
      <c r="B291">
        <v>2</v>
      </c>
      <c r="C291">
        <v>10</v>
      </c>
      <c r="D291">
        <v>10</v>
      </c>
      <c r="E291">
        <v>40</v>
      </c>
      <c r="F291">
        <v>41.198599999999999</v>
      </c>
      <c r="G291">
        <v>36.841999999999999</v>
      </c>
      <c r="H291">
        <v>40.784999999999997</v>
      </c>
    </row>
    <row r="292" spans="1:8" x14ac:dyDescent="0.3">
      <c r="A292">
        <f t="shared" si="4"/>
        <v>291</v>
      </c>
      <c r="B292">
        <v>2</v>
      </c>
      <c r="C292">
        <v>10</v>
      </c>
      <c r="D292">
        <v>15</v>
      </c>
      <c r="E292">
        <v>0</v>
      </c>
      <c r="F292">
        <v>3.3229000000000002</v>
      </c>
      <c r="G292">
        <v>0.44400000000000001</v>
      </c>
      <c r="H292">
        <v>0</v>
      </c>
    </row>
    <row r="293" spans="1:8" x14ac:dyDescent="0.3">
      <c r="A293">
        <f t="shared" si="4"/>
        <v>292</v>
      </c>
      <c r="B293">
        <v>2</v>
      </c>
      <c r="C293">
        <v>10</v>
      </c>
      <c r="D293">
        <v>15</v>
      </c>
      <c r="E293">
        <v>10</v>
      </c>
      <c r="F293">
        <v>5.2849000000000004</v>
      </c>
      <c r="G293">
        <v>1.514</v>
      </c>
      <c r="H293">
        <v>0</v>
      </c>
    </row>
    <row r="294" spans="1:8" x14ac:dyDescent="0.3">
      <c r="A294">
        <f t="shared" si="4"/>
        <v>293</v>
      </c>
      <c r="B294">
        <v>2</v>
      </c>
      <c r="C294">
        <v>10</v>
      </c>
      <c r="D294">
        <v>15</v>
      </c>
      <c r="E294">
        <v>20</v>
      </c>
      <c r="F294">
        <v>9.0412999999999997</v>
      </c>
      <c r="G294">
        <v>3.7330000000000001</v>
      </c>
      <c r="H294">
        <v>0</v>
      </c>
    </row>
    <row r="295" spans="1:8" x14ac:dyDescent="0.3">
      <c r="A295">
        <f t="shared" si="4"/>
        <v>294</v>
      </c>
      <c r="B295">
        <v>2</v>
      </c>
      <c r="C295">
        <v>10</v>
      </c>
      <c r="D295">
        <v>15</v>
      </c>
      <c r="E295">
        <v>30</v>
      </c>
      <c r="F295">
        <v>16.250800000000002</v>
      </c>
      <c r="G295">
        <v>9.9320000000000004</v>
      </c>
      <c r="H295">
        <v>0</v>
      </c>
    </row>
    <row r="296" spans="1:8" x14ac:dyDescent="0.3">
      <c r="A296">
        <f t="shared" si="4"/>
        <v>295</v>
      </c>
      <c r="B296">
        <v>2</v>
      </c>
      <c r="C296">
        <v>10</v>
      </c>
      <c r="D296">
        <v>15</v>
      </c>
      <c r="E296">
        <v>40</v>
      </c>
      <c r="F296">
        <v>33.188699999999997</v>
      </c>
      <c r="G296">
        <v>28.06</v>
      </c>
      <c r="H296">
        <v>28.475000000000001</v>
      </c>
    </row>
    <row r="297" spans="1:8" x14ac:dyDescent="0.3">
      <c r="A297">
        <f t="shared" si="4"/>
        <v>296</v>
      </c>
      <c r="B297">
        <v>2</v>
      </c>
      <c r="C297">
        <v>10</v>
      </c>
      <c r="D297">
        <v>20</v>
      </c>
      <c r="E297">
        <v>0</v>
      </c>
      <c r="F297">
        <v>2.7111999999999998</v>
      </c>
      <c r="G297">
        <v>0.11799999999999999</v>
      </c>
      <c r="H297">
        <v>0</v>
      </c>
    </row>
    <row r="298" spans="1:8" x14ac:dyDescent="0.3">
      <c r="A298">
        <f t="shared" si="4"/>
        <v>297</v>
      </c>
      <c r="B298">
        <v>2</v>
      </c>
      <c r="C298">
        <v>10</v>
      </c>
      <c r="D298">
        <v>20</v>
      </c>
      <c r="E298">
        <v>10</v>
      </c>
      <c r="F298">
        <v>4.3018000000000001</v>
      </c>
      <c r="G298">
        <v>0.95099999999999996</v>
      </c>
      <c r="H298">
        <v>0</v>
      </c>
    </row>
    <row r="299" spans="1:8" x14ac:dyDescent="0.3">
      <c r="A299">
        <f t="shared" si="4"/>
        <v>298</v>
      </c>
      <c r="B299">
        <v>2</v>
      </c>
      <c r="C299">
        <v>10</v>
      </c>
      <c r="D299">
        <v>20</v>
      </c>
      <c r="E299">
        <v>20</v>
      </c>
      <c r="F299">
        <v>7.2920999999999996</v>
      </c>
      <c r="G299">
        <v>2.6789999999999998</v>
      </c>
      <c r="H299">
        <v>0</v>
      </c>
    </row>
    <row r="300" spans="1:8" x14ac:dyDescent="0.3">
      <c r="A300">
        <f t="shared" si="4"/>
        <v>299</v>
      </c>
      <c r="B300">
        <v>2</v>
      </c>
      <c r="C300">
        <v>10</v>
      </c>
      <c r="D300">
        <v>20</v>
      </c>
      <c r="E300">
        <v>30</v>
      </c>
      <c r="F300">
        <v>13.276400000000001</v>
      </c>
      <c r="G300">
        <v>8.5229999999999997</v>
      </c>
      <c r="H300">
        <v>0</v>
      </c>
    </row>
    <row r="301" spans="1:8" x14ac:dyDescent="0.3">
      <c r="A301">
        <f t="shared" si="4"/>
        <v>300</v>
      </c>
      <c r="B301">
        <v>2</v>
      </c>
      <c r="C301">
        <v>10</v>
      </c>
      <c r="D301">
        <v>20</v>
      </c>
      <c r="E301">
        <v>40</v>
      </c>
      <c r="F301">
        <v>26.168800000000001</v>
      </c>
      <c r="G301">
        <v>22.248999999999999</v>
      </c>
      <c r="H301">
        <v>18.507000000000001</v>
      </c>
    </row>
    <row r="302" spans="1:8" x14ac:dyDescent="0.3">
      <c r="A302">
        <f t="shared" si="4"/>
        <v>301</v>
      </c>
      <c r="B302">
        <v>2</v>
      </c>
      <c r="C302">
        <v>20</v>
      </c>
      <c r="D302">
        <v>0</v>
      </c>
      <c r="E302">
        <v>0</v>
      </c>
      <c r="F302">
        <v>4.9663000000000004</v>
      </c>
      <c r="G302">
        <v>0.997</v>
      </c>
      <c r="H302">
        <v>0</v>
      </c>
    </row>
    <row r="303" spans="1:8" x14ac:dyDescent="0.3">
      <c r="A303">
        <f t="shared" si="4"/>
        <v>302</v>
      </c>
      <c r="B303">
        <v>2</v>
      </c>
      <c r="C303">
        <v>20</v>
      </c>
      <c r="D303">
        <v>0</v>
      </c>
      <c r="E303">
        <v>10</v>
      </c>
      <c r="F303">
        <v>8.0533000000000001</v>
      </c>
      <c r="G303">
        <v>2.2349999999999999</v>
      </c>
      <c r="H303">
        <v>0</v>
      </c>
    </row>
    <row r="304" spans="1:8" x14ac:dyDescent="0.3">
      <c r="A304">
        <f t="shared" si="4"/>
        <v>303</v>
      </c>
      <c r="B304">
        <v>2</v>
      </c>
      <c r="C304">
        <v>20</v>
      </c>
      <c r="D304">
        <v>0</v>
      </c>
      <c r="E304">
        <v>20</v>
      </c>
      <c r="F304">
        <v>13.126099999999999</v>
      </c>
      <c r="G304">
        <v>5.766</v>
      </c>
      <c r="H304">
        <v>0</v>
      </c>
    </row>
    <row r="305" spans="1:8" x14ac:dyDescent="0.3">
      <c r="A305">
        <f t="shared" si="4"/>
        <v>304</v>
      </c>
      <c r="B305">
        <v>2</v>
      </c>
      <c r="C305">
        <v>20</v>
      </c>
      <c r="D305">
        <v>0</v>
      </c>
      <c r="E305">
        <v>30</v>
      </c>
      <c r="F305">
        <v>23.273</v>
      </c>
      <c r="G305">
        <v>14.723000000000001</v>
      </c>
      <c r="H305">
        <v>13.0656</v>
      </c>
    </row>
    <row r="306" spans="1:8" x14ac:dyDescent="0.3">
      <c r="A306">
        <f t="shared" si="4"/>
        <v>305</v>
      </c>
      <c r="B306">
        <v>2</v>
      </c>
      <c r="C306">
        <v>20</v>
      </c>
      <c r="D306">
        <v>0</v>
      </c>
      <c r="E306">
        <v>40</v>
      </c>
      <c r="F306">
        <v>47.514099999999999</v>
      </c>
      <c r="G306">
        <v>40.738999999999997</v>
      </c>
      <c r="H306">
        <v>60.988</v>
      </c>
    </row>
    <row r="307" spans="1:8" x14ac:dyDescent="0.3">
      <c r="A307">
        <f t="shared" si="4"/>
        <v>306</v>
      </c>
      <c r="B307">
        <v>2</v>
      </c>
      <c r="C307">
        <v>20</v>
      </c>
      <c r="D307">
        <v>5</v>
      </c>
      <c r="E307">
        <v>0</v>
      </c>
      <c r="F307">
        <v>4.4831000000000003</v>
      </c>
      <c r="G307">
        <v>0.91200000000000003</v>
      </c>
      <c r="H307">
        <v>0</v>
      </c>
    </row>
    <row r="308" spans="1:8" x14ac:dyDescent="0.3">
      <c r="A308">
        <f t="shared" si="4"/>
        <v>307</v>
      </c>
      <c r="B308">
        <v>2</v>
      </c>
      <c r="C308">
        <v>20</v>
      </c>
      <c r="D308">
        <v>5</v>
      </c>
      <c r="E308">
        <v>10</v>
      </c>
      <c r="F308">
        <v>7.2365000000000004</v>
      </c>
      <c r="G308">
        <v>2.2919999999999998</v>
      </c>
      <c r="H308">
        <v>0</v>
      </c>
    </row>
    <row r="309" spans="1:8" x14ac:dyDescent="0.3">
      <c r="A309">
        <f t="shared" si="4"/>
        <v>308</v>
      </c>
      <c r="B309">
        <v>2</v>
      </c>
      <c r="C309">
        <v>20</v>
      </c>
      <c r="D309">
        <v>5</v>
      </c>
      <c r="E309">
        <v>20</v>
      </c>
      <c r="F309">
        <v>11.931699999999999</v>
      </c>
      <c r="G309">
        <v>5.4589999999999996</v>
      </c>
      <c r="H309">
        <v>0</v>
      </c>
    </row>
    <row r="310" spans="1:8" x14ac:dyDescent="0.3">
      <c r="A310">
        <f t="shared" si="4"/>
        <v>309</v>
      </c>
      <c r="B310">
        <v>2</v>
      </c>
      <c r="C310">
        <v>20</v>
      </c>
      <c r="D310">
        <v>5</v>
      </c>
      <c r="E310">
        <v>30</v>
      </c>
      <c r="F310">
        <v>20.8386</v>
      </c>
      <c r="G310">
        <v>13.375999999999999</v>
      </c>
      <c r="H310">
        <v>10.349</v>
      </c>
    </row>
    <row r="311" spans="1:8" x14ac:dyDescent="0.3">
      <c r="A311">
        <f t="shared" si="4"/>
        <v>310</v>
      </c>
      <c r="B311">
        <v>2</v>
      </c>
      <c r="C311">
        <v>20</v>
      </c>
      <c r="D311">
        <v>5</v>
      </c>
      <c r="E311">
        <v>40</v>
      </c>
      <c r="F311">
        <v>42.109699999999997</v>
      </c>
      <c r="G311">
        <v>36.575000000000003</v>
      </c>
      <c r="H311">
        <v>49.33</v>
      </c>
    </row>
    <row r="312" spans="1:8" x14ac:dyDescent="0.3">
      <c r="A312">
        <f t="shared" si="4"/>
        <v>311</v>
      </c>
      <c r="B312">
        <v>2</v>
      </c>
      <c r="C312">
        <v>20</v>
      </c>
      <c r="D312">
        <v>10</v>
      </c>
      <c r="E312">
        <v>0</v>
      </c>
      <c r="F312">
        <v>3.9220999999999999</v>
      </c>
      <c r="G312">
        <v>0.79100000000000004</v>
      </c>
      <c r="H312">
        <v>0</v>
      </c>
    </row>
    <row r="313" spans="1:8" x14ac:dyDescent="0.3">
      <c r="A313">
        <f t="shared" si="4"/>
        <v>312</v>
      </c>
      <c r="B313">
        <v>2</v>
      </c>
      <c r="C313">
        <v>20</v>
      </c>
      <c r="D313">
        <v>10</v>
      </c>
      <c r="E313">
        <v>10</v>
      </c>
      <c r="F313">
        <v>6.2893999999999997</v>
      </c>
      <c r="G313">
        <v>1.7769999999999999</v>
      </c>
      <c r="H313">
        <v>0</v>
      </c>
    </row>
    <row r="314" spans="1:8" x14ac:dyDescent="0.3">
      <c r="A314">
        <f t="shared" si="4"/>
        <v>313</v>
      </c>
      <c r="B314">
        <v>2</v>
      </c>
      <c r="C314">
        <v>20</v>
      </c>
      <c r="D314">
        <v>10</v>
      </c>
      <c r="E314">
        <v>20</v>
      </c>
      <c r="F314">
        <v>10.5182</v>
      </c>
      <c r="G314">
        <v>4.4850000000000003</v>
      </c>
      <c r="H314">
        <v>0</v>
      </c>
    </row>
    <row r="315" spans="1:8" x14ac:dyDescent="0.3">
      <c r="A315">
        <f t="shared" si="4"/>
        <v>314</v>
      </c>
      <c r="B315">
        <v>2</v>
      </c>
      <c r="C315">
        <v>20</v>
      </c>
      <c r="D315">
        <v>10</v>
      </c>
      <c r="E315">
        <v>30</v>
      </c>
      <c r="F315">
        <v>17.920100000000001</v>
      </c>
      <c r="G315">
        <v>11.52</v>
      </c>
      <c r="H315">
        <v>7.7130000000000001</v>
      </c>
    </row>
    <row r="316" spans="1:8" x14ac:dyDescent="0.3">
      <c r="A316">
        <f t="shared" si="4"/>
        <v>315</v>
      </c>
      <c r="B316">
        <v>2</v>
      </c>
      <c r="C316">
        <v>20</v>
      </c>
      <c r="D316">
        <v>10</v>
      </c>
      <c r="E316">
        <v>40</v>
      </c>
      <c r="F316">
        <v>34.802500000000002</v>
      </c>
      <c r="G316">
        <v>30.344000000000001</v>
      </c>
      <c r="H316">
        <v>37.258000000000003</v>
      </c>
    </row>
    <row r="317" spans="1:8" x14ac:dyDescent="0.3">
      <c r="A317">
        <f t="shared" si="4"/>
        <v>316</v>
      </c>
      <c r="B317">
        <v>2</v>
      </c>
      <c r="C317">
        <v>20</v>
      </c>
      <c r="D317">
        <v>15</v>
      </c>
      <c r="E317">
        <v>0</v>
      </c>
      <c r="F317">
        <v>3.3176999999999999</v>
      </c>
      <c r="G317">
        <v>0.46700000000000003</v>
      </c>
      <c r="H317">
        <v>0</v>
      </c>
    </row>
    <row r="318" spans="1:8" x14ac:dyDescent="0.3">
      <c r="A318">
        <f t="shared" si="4"/>
        <v>317</v>
      </c>
      <c r="B318">
        <v>2</v>
      </c>
      <c r="C318">
        <v>20</v>
      </c>
      <c r="D318">
        <v>15</v>
      </c>
      <c r="E318">
        <v>10</v>
      </c>
      <c r="F318">
        <v>5.2830000000000004</v>
      </c>
      <c r="G318">
        <v>1.413</v>
      </c>
      <c r="H318">
        <v>0</v>
      </c>
    </row>
    <row r="319" spans="1:8" x14ac:dyDescent="0.3">
      <c r="A319">
        <f t="shared" si="4"/>
        <v>318</v>
      </c>
      <c r="B319">
        <v>2</v>
      </c>
      <c r="C319">
        <v>20</v>
      </c>
      <c r="D319">
        <v>15</v>
      </c>
      <c r="E319">
        <v>20</v>
      </c>
      <c r="F319">
        <v>9.0117999999999991</v>
      </c>
      <c r="G319">
        <v>3.7749999999999999</v>
      </c>
      <c r="H319">
        <v>0</v>
      </c>
    </row>
    <row r="320" spans="1:8" x14ac:dyDescent="0.3">
      <c r="A320">
        <f t="shared" si="4"/>
        <v>319</v>
      </c>
      <c r="B320">
        <v>2</v>
      </c>
      <c r="C320">
        <v>20</v>
      </c>
      <c r="D320">
        <v>15</v>
      </c>
      <c r="E320">
        <v>30</v>
      </c>
      <c r="F320">
        <v>15.1067</v>
      </c>
      <c r="G320">
        <v>9.3170000000000002</v>
      </c>
      <c r="H320">
        <v>5.3250000000000002</v>
      </c>
    </row>
    <row r="321" spans="1:8" x14ac:dyDescent="0.3">
      <c r="A321">
        <f t="shared" si="4"/>
        <v>320</v>
      </c>
      <c r="B321">
        <v>2</v>
      </c>
      <c r="C321">
        <v>20</v>
      </c>
      <c r="D321">
        <v>15</v>
      </c>
      <c r="E321">
        <v>40</v>
      </c>
      <c r="F321">
        <v>28.3827</v>
      </c>
      <c r="G321">
        <v>23.949000000000002</v>
      </c>
      <c r="H321">
        <v>27.074000000000002</v>
      </c>
    </row>
    <row r="322" spans="1:8" x14ac:dyDescent="0.3">
      <c r="A322">
        <f t="shared" si="4"/>
        <v>321</v>
      </c>
      <c r="B322">
        <v>2</v>
      </c>
      <c r="C322">
        <v>20</v>
      </c>
      <c r="D322">
        <v>20</v>
      </c>
      <c r="E322">
        <v>0</v>
      </c>
      <c r="F322">
        <v>2.7006999999999999</v>
      </c>
      <c r="G322">
        <v>0.192</v>
      </c>
      <c r="H322">
        <v>0</v>
      </c>
    </row>
    <row r="323" spans="1:8" x14ac:dyDescent="0.3">
      <c r="A323">
        <f t="shared" si="4"/>
        <v>322</v>
      </c>
      <c r="B323">
        <v>2</v>
      </c>
      <c r="C323">
        <v>20</v>
      </c>
      <c r="D323">
        <v>20</v>
      </c>
      <c r="E323">
        <v>10</v>
      </c>
      <c r="F323">
        <v>4.3074000000000003</v>
      </c>
      <c r="G323">
        <v>0.94599999999999995</v>
      </c>
      <c r="H323">
        <v>0</v>
      </c>
    </row>
    <row r="324" spans="1:8" x14ac:dyDescent="0.3">
      <c r="A324">
        <f t="shared" si="4"/>
        <v>323</v>
      </c>
      <c r="B324">
        <v>2</v>
      </c>
      <c r="C324">
        <v>20</v>
      </c>
      <c r="D324">
        <v>20</v>
      </c>
      <c r="E324">
        <v>20</v>
      </c>
      <c r="F324">
        <v>7.2836999999999996</v>
      </c>
      <c r="G324">
        <v>2.9630000000000001</v>
      </c>
      <c r="H324">
        <v>0</v>
      </c>
    </row>
    <row r="325" spans="1:8" x14ac:dyDescent="0.3">
      <c r="A325">
        <f t="shared" ref="A325:A388" si="5">A324+1</f>
        <v>324</v>
      </c>
      <c r="B325">
        <v>2</v>
      </c>
      <c r="C325">
        <v>20</v>
      </c>
      <c r="D325">
        <v>20</v>
      </c>
      <c r="E325">
        <v>30</v>
      </c>
      <c r="F325">
        <v>12.593</v>
      </c>
      <c r="G325">
        <v>7.3710000000000004</v>
      </c>
      <c r="H325">
        <v>0</v>
      </c>
    </row>
    <row r="326" spans="1:8" x14ac:dyDescent="0.3">
      <c r="A326">
        <f t="shared" si="5"/>
        <v>325</v>
      </c>
      <c r="B326">
        <v>2</v>
      </c>
      <c r="C326">
        <v>20</v>
      </c>
      <c r="D326">
        <v>20</v>
      </c>
      <c r="E326">
        <v>40</v>
      </c>
      <c r="F326">
        <v>22.7926</v>
      </c>
      <c r="G326">
        <v>19.364000000000001</v>
      </c>
      <c r="H326">
        <v>18.299600000000002</v>
      </c>
    </row>
    <row r="327" spans="1:8" x14ac:dyDescent="0.3">
      <c r="A327">
        <f t="shared" si="5"/>
        <v>326</v>
      </c>
      <c r="B327">
        <v>2</v>
      </c>
      <c r="C327">
        <v>30</v>
      </c>
      <c r="D327">
        <v>0</v>
      </c>
      <c r="E327">
        <v>0</v>
      </c>
      <c r="F327">
        <v>4.9623999999999997</v>
      </c>
      <c r="G327">
        <v>0.99299999999999999</v>
      </c>
      <c r="H327">
        <v>0</v>
      </c>
    </row>
    <row r="328" spans="1:8" x14ac:dyDescent="0.3">
      <c r="A328">
        <f t="shared" si="5"/>
        <v>327</v>
      </c>
      <c r="B328">
        <v>2</v>
      </c>
      <c r="C328">
        <v>30</v>
      </c>
      <c r="D328">
        <v>0</v>
      </c>
      <c r="E328">
        <v>10</v>
      </c>
      <c r="F328">
        <v>7.7957000000000001</v>
      </c>
      <c r="G328">
        <v>2.4</v>
      </c>
      <c r="H328">
        <v>0</v>
      </c>
    </row>
    <row r="329" spans="1:8" x14ac:dyDescent="0.3">
      <c r="A329">
        <f t="shared" si="5"/>
        <v>328</v>
      </c>
      <c r="B329">
        <v>2</v>
      </c>
      <c r="C329">
        <v>30</v>
      </c>
      <c r="D329">
        <v>0</v>
      </c>
      <c r="E329">
        <v>20</v>
      </c>
      <c r="F329">
        <v>12.200900000000001</v>
      </c>
      <c r="G329">
        <v>5.4610000000000003</v>
      </c>
      <c r="H329">
        <v>0</v>
      </c>
    </row>
    <row r="330" spans="1:8" x14ac:dyDescent="0.3">
      <c r="A330">
        <f t="shared" si="5"/>
        <v>329</v>
      </c>
      <c r="B330">
        <v>2</v>
      </c>
      <c r="C330">
        <v>30</v>
      </c>
      <c r="D330">
        <v>0</v>
      </c>
      <c r="E330">
        <v>30</v>
      </c>
      <c r="F330">
        <v>20.465299999999999</v>
      </c>
      <c r="G330">
        <v>13.03</v>
      </c>
      <c r="H330">
        <v>0</v>
      </c>
    </row>
    <row r="331" spans="1:8" x14ac:dyDescent="0.3">
      <c r="A331">
        <f t="shared" si="5"/>
        <v>330</v>
      </c>
      <c r="B331">
        <v>2</v>
      </c>
      <c r="C331">
        <v>30</v>
      </c>
      <c r="D331">
        <v>0</v>
      </c>
      <c r="E331">
        <v>40</v>
      </c>
      <c r="F331">
        <v>38.6631</v>
      </c>
      <c r="G331">
        <v>33.417000000000002</v>
      </c>
      <c r="H331">
        <v>46.503</v>
      </c>
    </row>
    <row r="332" spans="1:8" x14ac:dyDescent="0.3">
      <c r="A332">
        <f t="shared" si="5"/>
        <v>331</v>
      </c>
      <c r="B332">
        <v>2</v>
      </c>
      <c r="C332">
        <v>30</v>
      </c>
      <c r="D332">
        <v>5</v>
      </c>
      <c r="E332">
        <v>0</v>
      </c>
      <c r="F332">
        <v>4.4821</v>
      </c>
      <c r="G332">
        <v>0.874</v>
      </c>
      <c r="H332">
        <v>0</v>
      </c>
    </row>
    <row r="333" spans="1:8" x14ac:dyDescent="0.3">
      <c r="A333">
        <f t="shared" si="5"/>
        <v>332</v>
      </c>
      <c r="B333">
        <v>2</v>
      </c>
      <c r="C333">
        <v>30</v>
      </c>
      <c r="D333">
        <v>5</v>
      </c>
      <c r="E333">
        <v>10</v>
      </c>
      <c r="F333">
        <v>7.2522000000000002</v>
      </c>
      <c r="G333">
        <v>2.0419999999999998</v>
      </c>
      <c r="H333">
        <v>0</v>
      </c>
    </row>
    <row r="334" spans="1:8" x14ac:dyDescent="0.3">
      <c r="A334">
        <f t="shared" si="5"/>
        <v>333</v>
      </c>
      <c r="B334">
        <v>2</v>
      </c>
      <c r="C334">
        <v>30</v>
      </c>
      <c r="D334">
        <v>5</v>
      </c>
      <c r="E334">
        <v>20</v>
      </c>
      <c r="F334">
        <v>11.2773</v>
      </c>
      <c r="G334">
        <v>4.9400000000000004</v>
      </c>
      <c r="H334">
        <v>0</v>
      </c>
    </row>
    <row r="335" spans="1:8" x14ac:dyDescent="0.3">
      <c r="A335">
        <f t="shared" si="5"/>
        <v>334</v>
      </c>
      <c r="B335">
        <v>2</v>
      </c>
      <c r="C335">
        <v>30</v>
      </c>
      <c r="D335">
        <v>5</v>
      </c>
      <c r="E335">
        <v>30</v>
      </c>
      <c r="F335">
        <v>18.753</v>
      </c>
      <c r="G335">
        <v>11.545999999999999</v>
      </c>
      <c r="H335">
        <v>0</v>
      </c>
    </row>
    <row r="336" spans="1:8" x14ac:dyDescent="0.3">
      <c r="A336">
        <f t="shared" si="5"/>
        <v>335</v>
      </c>
      <c r="B336">
        <v>2</v>
      </c>
      <c r="C336">
        <v>30</v>
      </c>
      <c r="D336">
        <v>5</v>
      </c>
      <c r="E336">
        <v>40</v>
      </c>
      <c r="F336">
        <v>35.043700000000001</v>
      </c>
      <c r="G336">
        <v>29.818999999999999</v>
      </c>
      <c r="H336">
        <v>41.296999999999997</v>
      </c>
    </row>
    <row r="337" spans="1:8" x14ac:dyDescent="0.3">
      <c r="A337">
        <f t="shared" si="5"/>
        <v>336</v>
      </c>
      <c r="B337">
        <v>2</v>
      </c>
      <c r="C337">
        <v>30</v>
      </c>
      <c r="D337">
        <v>10</v>
      </c>
      <c r="E337">
        <v>0</v>
      </c>
      <c r="F337">
        <v>3.9270999999999998</v>
      </c>
      <c r="G337">
        <v>0.68500000000000005</v>
      </c>
      <c r="H337">
        <v>0</v>
      </c>
    </row>
    <row r="338" spans="1:8" x14ac:dyDescent="0.3">
      <c r="A338">
        <f t="shared" si="5"/>
        <v>337</v>
      </c>
      <c r="B338">
        <v>2</v>
      </c>
      <c r="C338">
        <v>30</v>
      </c>
      <c r="D338">
        <v>10</v>
      </c>
      <c r="E338">
        <v>10</v>
      </c>
      <c r="F338">
        <v>6.2824</v>
      </c>
      <c r="G338">
        <v>1.851</v>
      </c>
      <c r="H338">
        <v>0</v>
      </c>
    </row>
    <row r="339" spans="1:8" x14ac:dyDescent="0.3">
      <c r="A339">
        <f t="shared" si="5"/>
        <v>338</v>
      </c>
      <c r="B339">
        <v>2</v>
      </c>
      <c r="C339">
        <v>30</v>
      </c>
      <c r="D339">
        <v>10</v>
      </c>
      <c r="E339">
        <v>20</v>
      </c>
      <c r="F339">
        <v>10.0289</v>
      </c>
      <c r="G339">
        <v>4.5960000000000001</v>
      </c>
      <c r="H339">
        <v>0</v>
      </c>
    </row>
    <row r="340" spans="1:8" x14ac:dyDescent="0.3">
      <c r="A340">
        <f t="shared" si="5"/>
        <v>339</v>
      </c>
      <c r="B340">
        <v>2</v>
      </c>
      <c r="C340">
        <v>30</v>
      </c>
      <c r="D340">
        <v>10</v>
      </c>
      <c r="E340">
        <v>30</v>
      </c>
      <c r="F340">
        <v>16.255500000000001</v>
      </c>
      <c r="G340">
        <v>10.039</v>
      </c>
      <c r="H340">
        <v>0</v>
      </c>
    </row>
    <row r="341" spans="1:8" x14ac:dyDescent="0.3">
      <c r="A341">
        <f t="shared" si="5"/>
        <v>340</v>
      </c>
      <c r="B341">
        <v>2</v>
      </c>
      <c r="C341">
        <v>30</v>
      </c>
      <c r="D341">
        <v>10</v>
      </c>
      <c r="E341">
        <v>40</v>
      </c>
      <c r="F341">
        <v>29.216699999999999</v>
      </c>
      <c r="G341">
        <v>25.059000000000001</v>
      </c>
      <c r="H341">
        <v>31.966000000000001</v>
      </c>
    </row>
    <row r="342" spans="1:8" x14ac:dyDescent="0.3">
      <c r="A342">
        <f t="shared" si="5"/>
        <v>341</v>
      </c>
      <c r="B342">
        <v>2</v>
      </c>
      <c r="C342">
        <v>30</v>
      </c>
      <c r="D342">
        <v>15</v>
      </c>
      <c r="E342">
        <v>0</v>
      </c>
      <c r="F342">
        <v>3.3159999999999998</v>
      </c>
      <c r="G342">
        <v>0.47099999999999997</v>
      </c>
      <c r="H342">
        <v>0</v>
      </c>
    </row>
    <row r="343" spans="1:8" x14ac:dyDescent="0.3">
      <c r="A343">
        <f t="shared" si="5"/>
        <v>342</v>
      </c>
      <c r="B343">
        <v>2</v>
      </c>
      <c r="C343">
        <v>30</v>
      </c>
      <c r="D343">
        <v>15</v>
      </c>
      <c r="E343">
        <v>10</v>
      </c>
      <c r="F343">
        <v>5.2778999999999998</v>
      </c>
      <c r="G343">
        <v>1.4</v>
      </c>
      <c r="H343">
        <v>0</v>
      </c>
    </row>
    <row r="344" spans="1:8" x14ac:dyDescent="0.3">
      <c r="A344">
        <f t="shared" si="5"/>
        <v>343</v>
      </c>
      <c r="B344">
        <v>2</v>
      </c>
      <c r="C344">
        <v>30</v>
      </c>
      <c r="D344">
        <v>15</v>
      </c>
      <c r="E344">
        <v>20</v>
      </c>
      <c r="F344">
        <v>8.7858000000000001</v>
      </c>
      <c r="G344">
        <v>3.7669999999999999</v>
      </c>
      <c r="H344">
        <v>0</v>
      </c>
    </row>
    <row r="345" spans="1:8" x14ac:dyDescent="0.3">
      <c r="A345">
        <f t="shared" si="5"/>
        <v>344</v>
      </c>
      <c r="B345">
        <v>2</v>
      </c>
      <c r="C345">
        <v>30</v>
      </c>
      <c r="D345">
        <v>15</v>
      </c>
      <c r="E345">
        <v>30</v>
      </c>
      <c r="F345">
        <v>13.8695</v>
      </c>
      <c r="G345">
        <v>8.6940000000000008</v>
      </c>
      <c r="H345">
        <v>0</v>
      </c>
    </row>
    <row r="346" spans="1:8" x14ac:dyDescent="0.3">
      <c r="A346">
        <f t="shared" si="5"/>
        <v>345</v>
      </c>
      <c r="B346">
        <v>2</v>
      </c>
      <c r="C346">
        <v>30</v>
      </c>
      <c r="D346">
        <v>15</v>
      </c>
      <c r="E346">
        <v>40</v>
      </c>
      <c r="F346">
        <v>24.112300000000001</v>
      </c>
      <c r="G346">
        <v>20.329000000000001</v>
      </c>
      <c r="H346">
        <v>24.1523</v>
      </c>
    </row>
    <row r="347" spans="1:8" x14ac:dyDescent="0.3">
      <c r="A347">
        <f t="shared" si="5"/>
        <v>346</v>
      </c>
      <c r="B347">
        <v>2</v>
      </c>
      <c r="C347">
        <v>30</v>
      </c>
      <c r="D347">
        <v>20</v>
      </c>
      <c r="E347">
        <v>0</v>
      </c>
      <c r="F347">
        <v>2.7023000000000001</v>
      </c>
      <c r="G347">
        <v>0.13800000000000001</v>
      </c>
      <c r="H347">
        <v>0</v>
      </c>
    </row>
    <row r="348" spans="1:8" x14ac:dyDescent="0.3">
      <c r="A348">
        <f t="shared" si="5"/>
        <v>347</v>
      </c>
      <c r="B348">
        <v>2</v>
      </c>
      <c r="C348">
        <v>30</v>
      </c>
      <c r="D348">
        <v>20</v>
      </c>
      <c r="E348">
        <v>10</v>
      </c>
      <c r="F348">
        <v>4.3076999999999996</v>
      </c>
      <c r="G348">
        <v>0.88300000000000001</v>
      </c>
      <c r="H348">
        <v>0</v>
      </c>
    </row>
    <row r="349" spans="1:8" x14ac:dyDescent="0.3">
      <c r="A349">
        <f t="shared" si="5"/>
        <v>348</v>
      </c>
      <c r="B349">
        <v>2</v>
      </c>
      <c r="C349">
        <v>30</v>
      </c>
      <c r="D349">
        <v>20</v>
      </c>
      <c r="E349">
        <v>20</v>
      </c>
      <c r="F349">
        <v>7.2686000000000002</v>
      </c>
      <c r="G349">
        <v>2.823</v>
      </c>
      <c r="H349">
        <v>0</v>
      </c>
    </row>
    <row r="350" spans="1:8" x14ac:dyDescent="0.3">
      <c r="A350">
        <f t="shared" si="5"/>
        <v>349</v>
      </c>
      <c r="B350">
        <v>2</v>
      </c>
      <c r="C350">
        <v>30</v>
      </c>
      <c r="D350">
        <v>20</v>
      </c>
      <c r="E350">
        <v>30</v>
      </c>
      <c r="F350">
        <v>11.6875</v>
      </c>
      <c r="G350">
        <v>7.1020000000000003</v>
      </c>
      <c r="H350">
        <v>0</v>
      </c>
    </row>
    <row r="351" spans="1:8" x14ac:dyDescent="0.3">
      <c r="A351">
        <f t="shared" si="5"/>
        <v>350</v>
      </c>
      <c r="B351">
        <v>2</v>
      </c>
      <c r="C351">
        <v>30</v>
      </c>
      <c r="D351">
        <v>20</v>
      </c>
      <c r="E351">
        <v>40</v>
      </c>
      <c r="F351">
        <v>19.601900000000001</v>
      </c>
      <c r="G351">
        <v>17.27</v>
      </c>
      <c r="H351">
        <v>17.440999999999999</v>
      </c>
    </row>
    <row r="352" spans="1:8" x14ac:dyDescent="0.3">
      <c r="A352">
        <f t="shared" si="5"/>
        <v>351</v>
      </c>
      <c r="B352">
        <v>2</v>
      </c>
      <c r="C352">
        <v>40</v>
      </c>
      <c r="D352">
        <v>0</v>
      </c>
      <c r="E352">
        <v>0</v>
      </c>
      <c r="F352">
        <v>4.9577999999999998</v>
      </c>
      <c r="G352">
        <v>1.0309999999999999</v>
      </c>
      <c r="H352">
        <v>0</v>
      </c>
    </row>
    <row r="353" spans="1:8" x14ac:dyDescent="0.3">
      <c r="A353">
        <f t="shared" si="5"/>
        <v>352</v>
      </c>
      <c r="B353">
        <v>2</v>
      </c>
      <c r="C353">
        <v>40</v>
      </c>
      <c r="D353">
        <v>0</v>
      </c>
      <c r="E353">
        <v>10</v>
      </c>
      <c r="F353">
        <v>7.4579000000000004</v>
      </c>
      <c r="G353">
        <v>2.4079999999999999</v>
      </c>
      <c r="H353">
        <v>0</v>
      </c>
    </row>
    <row r="354" spans="1:8" x14ac:dyDescent="0.3">
      <c r="A354">
        <f t="shared" si="5"/>
        <v>353</v>
      </c>
      <c r="B354">
        <v>2</v>
      </c>
      <c r="C354">
        <v>40</v>
      </c>
      <c r="D354">
        <v>0</v>
      </c>
      <c r="E354">
        <v>20</v>
      </c>
      <c r="F354">
        <v>11.2661</v>
      </c>
      <c r="G354">
        <v>4.9669999999999996</v>
      </c>
      <c r="H354">
        <v>0</v>
      </c>
    </row>
    <row r="355" spans="1:8" x14ac:dyDescent="0.3">
      <c r="A355">
        <f t="shared" si="5"/>
        <v>354</v>
      </c>
      <c r="B355">
        <v>2</v>
      </c>
      <c r="C355">
        <v>40</v>
      </c>
      <c r="D355">
        <v>0</v>
      </c>
      <c r="E355">
        <v>30</v>
      </c>
      <c r="F355">
        <v>17.8992</v>
      </c>
      <c r="G355">
        <v>11.303000000000001</v>
      </c>
      <c r="H355">
        <v>0</v>
      </c>
    </row>
    <row r="356" spans="1:8" x14ac:dyDescent="0.3">
      <c r="A356">
        <f t="shared" si="5"/>
        <v>355</v>
      </c>
      <c r="B356">
        <v>2</v>
      </c>
      <c r="C356">
        <v>40</v>
      </c>
      <c r="D356">
        <v>0</v>
      </c>
      <c r="E356">
        <v>40</v>
      </c>
      <c r="F356">
        <v>31.311599999999999</v>
      </c>
      <c r="G356">
        <v>26.748000000000001</v>
      </c>
      <c r="H356">
        <v>0</v>
      </c>
    </row>
    <row r="357" spans="1:8" x14ac:dyDescent="0.3">
      <c r="A357">
        <f t="shared" si="5"/>
        <v>356</v>
      </c>
      <c r="B357">
        <v>2</v>
      </c>
      <c r="C357">
        <v>40</v>
      </c>
      <c r="D357">
        <v>5</v>
      </c>
      <c r="E357">
        <v>0</v>
      </c>
      <c r="F357">
        <v>4.4774000000000003</v>
      </c>
      <c r="G357">
        <v>0.94799999999999995</v>
      </c>
      <c r="H357">
        <v>0</v>
      </c>
    </row>
    <row r="358" spans="1:8" x14ac:dyDescent="0.3">
      <c r="A358">
        <f t="shared" si="5"/>
        <v>357</v>
      </c>
      <c r="B358">
        <v>2</v>
      </c>
      <c r="C358">
        <v>40</v>
      </c>
      <c r="D358">
        <v>5</v>
      </c>
      <c r="E358">
        <v>10</v>
      </c>
      <c r="F358">
        <v>7.0364000000000004</v>
      </c>
      <c r="G358">
        <v>2.0739999999999998</v>
      </c>
      <c r="H358">
        <v>0</v>
      </c>
    </row>
    <row r="359" spans="1:8" x14ac:dyDescent="0.3">
      <c r="A359">
        <f t="shared" si="5"/>
        <v>358</v>
      </c>
      <c r="B359">
        <v>2</v>
      </c>
      <c r="C359">
        <v>40</v>
      </c>
      <c r="D359">
        <v>5</v>
      </c>
      <c r="E359">
        <v>20</v>
      </c>
      <c r="F359">
        <v>10.565200000000001</v>
      </c>
      <c r="G359">
        <v>4.6289999999999996</v>
      </c>
      <c r="H359">
        <v>0</v>
      </c>
    </row>
    <row r="360" spans="1:8" x14ac:dyDescent="0.3">
      <c r="A360">
        <f t="shared" si="5"/>
        <v>359</v>
      </c>
      <c r="B360">
        <v>2</v>
      </c>
      <c r="C360">
        <v>40</v>
      </c>
      <c r="D360">
        <v>5</v>
      </c>
      <c r="E360">
        <v>30</v>
      </c>
      <c r="F360">
        <v>16.6784</v>
      </c>
      <c r="G360">
        <v>10.553000000000001</v>
      </c>
      <c r="H360">
        <v>0</v>
      </c>
    </row>
    <row r="361" spans="1:8" x14ac:dyDescent="0.3">
      <c r="A361">
        <f t="shared" si="5"/>
        <v>360</v>
      </c>
      <c r="B361">
        <v>2</v>
      </c>
      <c r="C361">
        <v>40</v>
      </c>
      <c r="D361">
        <v>5</v>
      </c>
      <c r="E361">
        <v>40</v>
      </c>
      <c r="F361">
        <v>28.880600000000001</v>
      </c>
      <c r="G361">
        <v>25.189</v>
      </c>
      <c r="H361">
        <v>0</v>
      </c>
    </row>
    <row r="362" spans="1:8" x14ac:dyDescent="0.3">
      <c r="A362">
        <f t="shared" si="5"/>
        <v>361</v>
      </c>
      <c r="B362">
        <v>2</v>
      </c>
      <c r="C362">
        <v>40</v>
      </c>
      <c r="D362">
        <v>10</v>
      </c>
      <c r="E362">
        <v>0</v>
      </c>
      <c r="F362">
        <v>3.9253</v>
      </c>
      <c r="G362">
        <v>0.71699999999999997</v>
      </c>
      <c r="H362">
        <v>0</v>
      </c>
    </row>
    <row r="363" spans="1:8" x14ac:dyDescent="0.3">
      <c r="A363">
        <f t="shared" si="5"/>
        <v>362</v>
      </c>
      <c r="B363">
        <v>2</v>
      </c>
      <c r="C363">
        <v>40</v>
      </c>
      <c r="D363">
        <v>10</v>
      </c>
      <c r="E363">
        <v>10</v>
      </c>
      <c r="F363">
        <v>6.2754000000000003</v>
      </c>
      <c r="G363">
        <v>1.901</v>
      </c>
      <c r="H363">
        <v>0</v>
      </c>
    </row>
    <row r="364" spans="1:8" x14ac:dyDescent="0.3">
      <c r="A364">
        <f t="shared" si="5"/>
        <v>363</v>
      </c>
      <c r="B364">
        <v>2</v>
      </c>
      <c r="C364">
        <v>40</v>
      </c>
      <c r="D364">
        <v>10</v>
      </c>
      <c r="E364">
        <v>20</v>
      </c>
      <c r="F364">
        <v>9.4515999999999991</v>
      </c>
      <c r="G364">
        <v>4.1840000000000002</v>
      </c>
      <c r="H364">
        <v>0</v>
      </c>
    </row>
    <row r="365" spans="1:8" x14ac:dyDescent="0.3">
      <c r="A365">
        <f t="shared" si="5"/>
        <v>364</v>
      </c>
      <c r="B365">
        <v>2</v>
      </c>
      <c r="C365">
        <v>40</v>
      </c>
      <c r="D365">
        <v>10</v>
      </c>
      <c r="E365">
        <v>30</v>
      </c>
      <c r="F365">
        <v>14.5747</v>
      </c>
      <c r="G365">
        <v>9.0530000000000008</v>
      </c>
      <c r="H365">
        <v>0</v>
      </c>
    </row>
    <row r="366" spans="1:8" x14ac:dyDescent="0.3">
      <c r="A366">
        <f t="shared" si="5"/>
        <v>365</v>
      </c>
      <c r="B366">
        <v>2</v>
      </c>
      <c r="C366">
        <v>40</v>
      </c>
      <c r="D366">
        <v>10</v>
      </c>
      <c r="E366">
        <v>40</v>
      </c>
      <c r="F366">
        <v>24.397099999999998</v>
      </c>
      <c r="G366">
        <v>19.971</v>
      </c>
      <c r="H366">
        <v>0</v>
      </c>
    </row>
    <row r="367" spans="1:8" x14ac:dyDescent="0.3">
      <c r="A367">
        <f t="shared" si="5"/>
        <v>366</v>
      </c>
      <c r="B367">
        <v>2</v>
      </c>
      <c r="C367">
        <v>40</v>
      </c>
      <c r="D367">
        <v>15</v>
      </c>
      <c r="E367">
        <v>0</v>
      </c>
      <c r="F367">
        <v>3.3149999999999999</v>
      </c>
      <c r="G367">
        <v>0.49199999999999999</v>
      </c>
      <c r="H367">
        <v>0</v>
      </c>
    </row>
    <row r="368" spans="1:8" x14ac:dyDescent="0.3">
      <c r="A368">
        <f t="shared" si="5"/>
        <v>367</v>
      </c>
      <c r="B368">
        <v>2</v>
      </c>
      <c r="C368">
        <v>40</v>
      </c>
      <c r="D368">
        <v>15</v>
      </c>
      <c r="E368">
        <v>10</v>
      </c>
      <c r="F368">
        <v>5.2803000000000004</v>
      </c>
      <c r="G368">
        <v>1.3440000000000001</v>
      </c>
      <c r="H368">
        <v>0</v>
      </c>
    </row>
    <row r="369" spans="1:8" x14ac:dyDescent="0.3">
      <c r="A369">
        <f t="shared" si="5"/>
        <v>368</v>
      </c>
      <c r="B369">
        <v>2</v>
      </c>
      <c r="C369">
        <v>40</v>
      </c>
      <c r="D369">
        <v>15</v>
      </c>
      <c r="E369">
        <v>20</v>
      </c>
      <c r="F369">
        <v>8.3446999999999996</v>
      </c>
      <c r="G369">
        <v>3.625</v>
      </c>
      <c r="H369">
        <v>0</v>
      </c>
    </row>
    <row r="370" spans="1:8" x14ac:dyDescent="0.3">
      <c r="A370">
        <f t="shared" si="5"/>
        <v>369</v>
      </c>
      <c r="B370">
        <v>2</v>
      </c>
      <c r="C370">
        <v>40</v>
      </c>
      <c r="D370">
        <v>15</v>
      </c>
      <c r="E370">
        <v>30</v>
      </c>
      <c r="F370">
        <v>12.559699999999999</v>
      </c>
      <c r="G370">
        <v>7.75</v>
      </c>
      <c r="H370">
        <v>0</v>
      </c>
    </row>
    <row r="371" spans="1:8" x14ac:dyDescent="0.3">
      <c r="A371">
        <f t="shared" si="5"/>
        <v>370</v>
      </c>
      <c r="B371">
        <v>2</v>
      </c>
      <c r="C371">
        <v>40</v>
      </c>
      <c r="D371">
        <v>15</v>
      </c>
      <c r="E371">
        <v>40</v>
      </c>
      <c r="F371">
        <v>20.322500000000002</v>
      </c>
      <c r="G371">
        <v>17.681000000000001</v>
      </c>
      <c r="H371">
        <v>0</v>
      </c>
    </row>
    <row r="372" spans="1:8" x14ac:dyDescent="0.3">
      <c r="A372">
        <f t="shared" si="5"/>
        <v>371</v>
      </c>
      <c r="B372">
        <v>2</v>
      </c>
      <c r="C372">
        <v>40</v>
      </c>
      <c r="D372">
        <v>20</v>
      </c>
      <c r="E372">
        <v>0</v>
      </c>
      <c r="F372">
        <v>2.7017000000000002</v>
      </c>
      <c r="G372">
        <v>0.14299999999999999</v>
      </c>
      <c r="H372">
        <v>0</v>
      </c>
    </row>
    <row r="373" spans="1:8" x14ac:dyDescent="0.3">
      <c r="A373">
        <f t="shared" si="5"/>
        <v>372</v>
      </c>
      <c r="B373">
        <v>2</v>
      </c>
      <c r="C373">
        <v>40</v>
      </c>
      <c r="D373">
        <v>20</v>
      </c>
      <c r="E373">
        <v>10</v>
      </c>
      <c r="F373">
        <v>4.2942</v>
      </c>
      <c r="G373">
        <v>0.94499999999999995</v>
      </c>
      <c r="H373">
        <v>0</v>
      </c>
    </row>
    <row r="374" spans="1:8" x14ac:dyDescent="0.3">
      <c r="A374">
        <f t="shared" si="5"/>
        <v>373</v>
      </c>
      <c r="B374">
        <v>2</v>
      </c>
      <c r="C374">
        <v>40</v>
      </c>
      <c r="D374">
        <v>20</v>
      </c>
      <c r="E374">
        <v>20</v>
      </c>
      <c r="F374">
        <v>7.2539999999999996</v>
      </c>
      <c r="G374">
        <v>2.8919999999999999</v>
      </c>
      <c r="H374">
        <v>0</v>
      </c>
    </row>
    <row r="375" spans="1:8" x14ac:dyDescent="0.3">
      <c r="A375">
        <f t="shared" si="5"/>
        <v>374</v>
      </c>
      <c r="B375">
        <v>2</v>
      </c>
      <c r="C375">
        <v>40</v>
      </c>
      <c r="D375">
        <v>20</v>
      </c>
      <c r="E375">
        <v>30</v>
      </c>
      <c r="F375">
        <v>10.7224</v>
      </c>
      <c r="G375">
        <v>6.5190000000000001</v>
      </c>
      <c r="H375">
        <v>0</v>
      </c>
    </row>
    <row r="376" spans="1:8" x14ac:dyDescent="0.3">
      <c r="A376">
        <f t="shared" si="5"/>
        <v>375</v>
      </c>
      <c r="B376">
        <v>2</v>
      </c>
      <c r="C376">
        <v>40</v>
      </c>
      <c r="D376">
        <v>20</v>
      </c>
      <c r="E376">
        <v>40</v>
      </c>
      <c r="F376">
        <v>16.790700000000001</v>
      </c>
      <c r="G376">
        <v>14.262</v>
      </c>
      <c r="H376">
        <v>0</v>
      </c>
    </row>
    <row r="377" spans="1:8" x14ac:dyDescent="0.3">
      <c r="A377">
        <f t="shared" si="5"/>
        <v>376</v>
      </c>
      <c r="B377">
        <v>3</v>
      </c>
      <c r="C377">
        <v>0</v>
      </c>
      <c r="D377">
        <v>0</v>
      </c>
      <c r="E377">
        <v>0</v>
      </c>
      <c r="F377">
        <v>4.9782999999999999</v>
      </c>
      <c r="G377">
        <v>0.98699999999999999</v>
      </c>
      <c r="H377">
        <v>0</v>
      </c>
    </row>
    <row r="378" spans="1:8" x14ac:dyDescent="0.3">
      <c r="A378">
        <f t="shared" si="5"/>
        <v>377</v>
      </c>
      <c r="B378">
        <v>3</v>
      </c>
      <c r="C378">
        <v>0</v>
      </c>
      <c r="D378">
        <v>0</v>
      </c>
      <c r="E378">
        <v>10</v>
      </c>
      <c r="F378">
        <v>8.14</v>
      </c>
      <c r="G378">
        <v>2.5630000000000002</v>
      </c>
      <c r="H378">
        <v>1.6020000000000001</v>
      </c>
    </row>
    <row r="379" spans="1:8" x14ac:dyDescent="0.3">
      <c r="A379">
        <f t="shared" si="5"/>
        <v>378</v>
      </c>
      <c r="B379">
        <v>3</v>
      </c>
      <c r="C379">
        <v>0</v>
      </c>
      <c r="D379">
        <v>0</v>
      </c>
      <c r="E379">
        <v>20</v>
      </c>
      <c r="F379">
        <v>14.552300000000001</v>
      </c>
      <c r="G379">
        <f>152-145.523</f>
        <v>6.4770000000000039</v>
      </c>
      <c r="H379">
        <v>2.9350000000000001</v>
      </c>
    </row>
    <row r="380" spans="1:8" x14ac:dyDescent="0.3">
      <c r="A380">
        <f t="shared" si="5"/>
        <v>379</v>
      </c>
      <c r="B380">
        <v>3</v>
      </c>
      <c r="C380">
        <v>0</v>
      </c>
      <c r="D380">
        <v>0</v>
      </c>
      <c r="E380">
        <v>30</v>
      </c>
      <c r="F380">
        <v>29.528400000000001</v>
      </c>
      <c r="G380">
        <f>313.498-295.284</f>
        <v>18.213999999999999</v>
      </c>
      <c r="H380">
        <v>14.13</v>
      </c>
    </row>
    <row r="381" spans="1:8" x14ac:dyDescent="0.3">
      <c r="A381">
        <f t="shared" si="5"/>
        <v>380</v>
      </c>
      <c r="B381">
        <v>3</v>
      </c>
      <c r="C381">
        <v>0</v>
      </c>
      <c r="D381">
        <v>0</v>
      </c>
      <c r="E381">
        <v>40</v>
      </c>
      <c r="F381">
        <v>73.069100000000006</v>
      </c>
      <c r="G381">
        <f>792.423-730.691</f>
        <v>61.731999999999971</v>
      </c>
      <c r="H381">
        <v>80.325999999999993</v>
      </c>
    </row>
    <row r="382" spans="1:8" x14ac:dyDescent="0.3">
      <c r="A382">
        <f t="shared" si="5"/>
        <v>381</v>
      </c>
      <c r="B382">
        <v>3</v>
      </c>
      <c r="C382">
        <v>0</v>
      </c>
      <c r="D382">
        <v>5</v>
      </c>
      <c r="E382">
        <v>0</v>
      </c>
      <c r="F382">
        <v>4.4984000000000002</v>
      </c>
      <c r="G382">
        <v>0.88900000000000001</v>
      </c>
      <c r="H382">
        <v>0</v>
      </c>
    </row>
    <row r="383" spans="1:8" x14ac:dyDescent="0.3">
      <c r="A383">
        <f t="shared" si="5"/>
        <v>382</v>
      </c>
      <c r="B383">
        <v>3</v>
      </c>
      <c r="C383">
        <v>0</v>
      </c>
      <c r="D383">
        <v>5</v>
      </c>
      <c r="E383">
        <v>10</v>
      </c>
      <c r="F383">
        <v>7.2698999999999998</v>
      </c>
      <c r="G383">
        <v>2.173</v>
      </c>
      <c r="H383">
        <v>0</v>
      </c>
    </row>
    <row r="384" spans="1:8" x14ac:dyDescent="0.3">
      <c r="A384">
        <f t="shared" si="5"/>
        <v>383</v>
      </c>
      <c r="B384">
        <v>3</v>
      </c>
      <c r="C384">
        <v>0</v>
      </c>
      <c r="D384">
        <v>5</v>
      </c>
      <c r="E384">
        <v>20</v>
      </c>
      <c r="F384">
        <v>12.763299999999999</v>
      </c>
      <c r="G384">
        <v>5.6459999999999999</v>
      </c>
      <c r="H384">
        <v>2.113</v>
      </c>
    </row>
    <row r="385" spans="1:8" x14ac:dyDescent="0.3">
      <c r="A385">
        <f t="shared" si="5"/>
        <v>384</v>
      </c>
      <c r="B385">
        <v>3</v>
      </c>
      <c r="C385">
        <v>0</v>
      </c>
      <c r="D385">
        <v>5</v>
      </c>
      <c r="E385">
        <v>30</v>
      </c>
      <c r="F385">
        <v>25.369299999999999</v>
      </c>
      <c r="G385">
        <v>15.584</v>
      </c>
      <c r="H385">
        <v>11.057600000000001</v>
      </c>
    </row>
    <row r="386" spans="1:8" x14ac:dyDescent="0.3">
      <c r="A386">
        <f t="shared" si="5"/>
        <v>385</v>
      </c>
      <c r="B386">
        <v>3</v>
      </c>
      <c r="C386">
        <v>0</v>
      </c>
      <c r="D386">
        <v>5</v>
      </c>
      <c r="E386">
        <v>40</v>
      </c>
      <c r="F386">
        <v>61.029000000000003</v>
      </c>
      <c r="G386">
        <v>52.65</v>
      </c>
      <c r="H386">
        <v>61.658000000000001</v>
      </c>
    </row>
    <row r="387" spans="1:8" x14ac:dyDescent="0.3">
      <c r="A387">
        <f t="shared" si="5"/>
        <v>386</v>
      </c>
      <c r="B387">
        <v>3</v>
      </c>
      <c r="C387">
        <v>0</v>
      </c>
      <c r="D387">
        <v>10</v>
      </c>
      <c r="E387">
        <v>0</v>
      </c>
      <c r="F387">
        <v>3.9363000000000001</v>
      </c>
      <c r="G387">
        <v>0.70899999999999996</v>
      </c>
      <c r="H387">
        <v>0</v>
      </c>
    </row>
    <row r="388" spans="1:8" x14ac:dyDescent="0.3">
      <c r="A388">
        <f t="shared" si="5"/>
        <v>387</v>
      </c>
      <c r="B388">
        <v>3</v>
      </c>
      <c r="C388">
        <v>0</v>
      </c>
      <c r="D388">
        <v>10</v>
      </c>
      <c r="E388">
        <v>10</v>
      </c>
      <c r="F388">
        <v>6.3010999999999999</v>
      </c>
      <c r="G388">
        <v>1.8109999999999999</v>
      </c>
      <c r="H388">
        <v>0</v>
      </c>
    </row>
    <row r="389" spans="1:8" x14ac:dyDescent="0.3">
      <c r="A389">
        <f t="shared" ref="A389:A452" si="6">A388+1</f>
        <v>388</v>
      </c>
      <c r="B389">
        <v>3</v>
      </c>
      <c r="C389">
        <v>0</v>
      </c>
      <c r="D389">
        <v>10</v>
      </c>
      <c r="E389">
        <v>20</v>
      </c>
      <c r="F389">
        <v>10.8926</v>
      </c>
      <c r="G389">
        <v>4.6130000000000004</v>
      </c>
      <c r="H389">
        <v>0</v>
      </c>
    </row>
    <row r="390" spans="1:8" x14ac:dyDescent="0.3">
      <c r="A390">
        <f t="shared" si="6"/>
        <v>389</v>
      </c>
      <c r="B390">
        <v>3</v>
      </c>
      <c r="C390">
        <v>0</v>
      </c>
      <c r="D390">
        <v>10</v>
      </c>
      <c r="E390">
        <v>30</v>
      </c>
      <c r="F390">
        <v>21.150099999999998</v>
      </c>
      <c r="G390">
        <v>12.76</v>
      </c>
      <c r="H390">
        <v>8.1950000000000003</v>
      </c>
    </row>
    <row r="391" spans="1:8" x14ac:dyDescent="0.3">
      <c r="A391">
        <f t="shared" si="6"/>
        <v>390</v>
      </c>
      <c r="B391">
        <v>3</v>
      </c>
      <c r="C391">
        <v>0</v>
      </c>
      <c r="D391">
        <v>10</v>
      </c>
      <c r="E391">
        <v>40</v>
      </c>
      <c r="F391">
        <v>49.336599999999997</v>
      </c>
      <c r="G391">
        <v>41.927999999999997</v>
      </c>
      <c r="H391">
        <v>44.015999999999998</v>
      </c>
    </row>
    <row r="392" spans="1:8" x14ac:dyDescent="0.3">
      <c r="A392">
        <f t="shared" si="6"/>
        <v>391</v>
      </c>
      <c r="B392">
        <v>3</v>
      </c>
      <c r="C392">
        <v>0</v>
      </c>
      <c r="D392">
        <v>15</v>
      </c>
      <c r="E392">
        <v>0</v>
      </c>
      <c r="F392">
        <v>3.3281999999999998</v>
      </c>
      <c r="G392">
        <v>0.48399999999999999</v>
      </c>
      <c r="H392">
        <v>0</v>
      </c>
    </row>
    <row r="393" spans="1:8" x14ac:dyDescent="0.3">
      <c r="A393">
        <f t="shared" si="6"/>
        <v>392</v>
      </c>
      <c r="B393">
        <v>3</v>
      </c>
      <c r="C393">
        <v>0</v>
      </c>
      <c r="D393">
        <v>15</v>
      </c>
      <c r="E393">
        <v>10</v>
      </c>
      <c r="F393">
        <v>5.2998000000000003</v>
      </c>
      <c r="G393">
        <v>1.387</v>
      </c>
      <c r="H393">
        <v>0</v>
      </c>
    </row>
    <row r="394" spans="1:8" x14ac:dyDescent="0.3">
      <c r="A394">
        <f t="shared" si="6"/>
        <v>393</v>
      </c>
      <c r="B394">
        <v>3</v>
      </c>
      <c r="C394">
        <v>0</v>
      </c>
      <c r="D394">
        <v>15</v>
      </c>
      <c r="E394">
        <v>20</v>
      </c>
      <c r="F394">
        <v>9.0496999999999996</v>
      </c>
      <c r="G394">
        <v>3.7749999999999999</v>
      </c>
      <c r="H394">
        <v>0</v>
      </c>
    </row>
    <row r="395" spans="1:8" x14ac:dyDescent="0.3">
      <c r="A395">
        <f t="shared" si="6"/>
        <v>394</v>
      </c>
      <c r="B395">
        <v>3</v>
      </c>
      <c r="C395">
        <v>0</v>
      </c>
      <c r="D395">
        <v>15</v>
      </c>
      <c r="E395">
        <v>30</v>
      </c>
      <c r="F395">
        <v>17.226099999999999</v>
      </c>
      <c r="G395">
        <v>10.308999999999999</v>
      </c>
      <c r="H395">
        <v>5.6459999999999999</v>
      </c>
    </row>
    <row r="396" spans="1:8" x14ac:dyDescent="0.3">
      <c r="A396">
        <f t="shared" si="6"/>
        <v>395</v>
      </c>
      <c r="B396">
        <v>3</v>
      </c>
      <c r="C396">
        <v>0</v>
      </c>
      <c r="D396">
        <v>15</v>
      </c>
      <c r="E396">
        <v>40</v>
      </c>
      <c r="F396">
        <v>38.8919</v>
      </c>
      <c r="G396">
        <v>33.006</v>
      </c>
      <c r="H396">
        <v>30.029699999999998</v>
      </c>
    </row>
    <row r="397" spans="1:8" x14ac:dyDescent="0.3">
      <c r="A397">
        <f t="shared" si="6"/>
        <v>396</v>
      </c>
      <c r="B397">
        <v>3</v>
      </c>
      <c r="C397">
        <v>0</v>
      </c>
      <c r="D397">
        <v>20</v>
      </c>
      <c r="E397">
        <v>0</v>
      </c>
      <c r="F397">
        <v>2.7081</v>
      </c>
      <c r="G397">
        <v>0.187</v>
      </c>
      <c r="H397">
        <v>0</v>
      </c>
    </row>
    <row r="398" spans="1:8" x14ac:dyDescent="0.3">
      <c r="A398">
        <f t="shared" si="6"/>
        <v>397</v>
      </c>
      <c r="B398">
        <v>3</v>
      </c>
      <c r="C398">
        <v>0</v>
      </c>
      <c r="D398">
        <v>20</v>
      </c>
      <c r="E398">
        <v>10</v>
      </c>
      <c r="F398">
        <v>4.3150000000000004</v>
      </c>
      <c r="G398">
        <v>0.96699999999999997</v>
      </c>
      <c r="H398">
        <v>0</v>
      </c>
    </row>
    <row r="399" spans="1:8" x14ac:dyDescent="0.3">
      <c r="A399">
        <f t="shared" si="6"/>
        <v>398</v>
      </c>
      <c r="B399">
        <v>3</v>
      </c>
      <c r="C399">
        <v>0</v>
      </c>
      <c r="D399">
        <v>20</v>
      </c>
      <c r="E399">
        <v>20</v>
      </c>
      <c r="F399">
        <v>7.3061999999999996</v>
      </c>
      <c r="G399">
        <v>2.85</v>
      </c>
      <c r="H399">
        <v>0</v>
      </c>
    </row>
    <row r="400" spans="1:8" x14ac:dyDescent="0.3">
      <c r="A400">
        <f t="shared" si="6"/>
        <v>399</v>
      </c>
      <c r="B400">
        <v>3</v>
      </c>
      <c r="C400">
        <v>0</v>
      </c>
      <c r="D400">
        <v>20</v>
      </c>
      <c r="E400">
        <v>30</v>
      </c>
      <c r="F400">
        <v>13.6746</v>
      </c>
      <c r="G400">
        <v>8.0679999999999996</v>
      </c>
      <c r="H400">
        <v>1.9970000000000001</v>
      </c>
    </row>
    <row r="401" spans="1:8" x14ac:dyDescent="0.3">
      <c r="A401">
        <f t="shared" si="6"/>
        <v>400</v>
      </c>
      <c r="B401">
        <v>3</v>
      </c>
      <c r="C401">
        <v>0</v>
      </c>
      <c r="D401">
        <v>20</v>
      </c>
      <c r="E401">
        <v>40</v>
      </c>
      <c r="F401">
        <v>30.049600000000002</v>
      </c>
      <c r="G401">
        <v>25.094999999999999</v>
      </c>
      <c r="H401">
        <v>19.405000000000001</v>
      </c>
    </row>
    <row r="402" spans="1:8" x14ac:dyDescent="0.3">
      <c r="A402">
        <f t="shared" si="6"/>
        <v>401</v>
      </c>
      <c r="B402">
        <v>3</v>
      </c>
      <c r="C402">
        <v>10</v>
      </c>
      <c r="D402">
        <v>0</v>
      </c>
      <c r="E402">
        <v>0</v>
      </c>
      <c r="F402">
        <v>4.9598000000000004</v>
      </c>
      <c r="G402">
        <v>0.97699999999999998</v>
      </c>
      <c r="H402">
        <v>0</v>
      </c>
    </row>
    <row r="403" spans="1:8" x14ac:dyDescent="0.3">
      <c r="A403">
        <f t="shared" si="6"/>
        <v>402</v>
      </c>
      <c r="B403">
        <v>3</v>
      </c>
      <c r="C403">
        <v>10</v>
      </c>
      <c r="D403">
        <v>0</v>
      </c>
      <c r="E403">
        <v>10</v>
      </c>
      <c r="F403">
        <v>8.1303999999999998</v>
      </c>
      <c r="G403">
        <v>2.452</v>
      </c>
      <c r="H403">
        <v>0</v>
      </c>
    </row>
    <row r="404" spans="1:8" x14ac:dyDescent="0.3">
      <c r="A404">
        <f t="shared" si="6"/>
        <v>403</v>
      </c>
      <c r="B404">
        <v>3</v>
      </c>
      <c r="C404">
        <v>10</v>
      </c>
      <c r="D404">
        <v>0</v>
      </c>
      <c r="E404">
        <v>20</v>
      </c>
      <c r="F404">
        <v>14.4901</v>
      </c>
      <c r="G404">
        <v>6.3630000000000004</v>
      </c>
      <c r="H404">
        <v>0.504</v>
      </c>
    </row>
    <row r="405" spans="1:8" x14ac:dyDescent="0.3">
      <c r="A405">
        <f t="shared" si="6"/>
        <v>404</v>
      </c>
      <c r="B405">
        <v>3</v>
      </c>
      <c r="C405">
        <v>10</v>
      </c>
      <c r="D405">
        <v>0</v>
      </c>
      <c r="E405">
        <v>30</v>
      </c>
      <c r="F405">
        <v>27.393000000000001</v>
      </c>
      <c r="G405">
        <v>17.088000000000001</v>
      </c>
      <c r="H405">
        <v>12.981</v>
      </c>
    </row>
    <row r="406" spans="1:8" x14ac:dyDescent="0.3">
      <c r="A406">
        <f t="shared" si="6"/>
        <v>405</v>
      </c>
      <c r="B406">
        <v>3</v>
      </c>
      <c r="C406">
        <v>10</v>
      </c>
      <c r="D406">
        <v>0</v>
      </c>
      <c r="E406">
        <v>40</v>
      </c>
      <c r="F406">
        <v>60.802999999999997</v>
      </c>
      <c r="G406">
        <v>55.101999999999997</v>
      </c>
      <c r="H406">
        <v>70.733000000000004</v>
      </c>
    </row>
    <row r="407" spans="1:8" x14ac:dyDescent="0.3">
      <c r="A407">
        <f t="shared" si="6"/>
        <v>406</v>
      </c>
      <c r="B407">
        <v>3</v>
      </c>
      <c r="C407">
        <v>10</v>
      </c>
      <c r="D407">
        <v>5</v>
      </c>
      <c r="E407">
        <v>0</v>
      </c>
      <c r="F407">
        <v>4.4856999999999996</v>
      </c>
      <c r="G407">
        <v>0.89500000000000002</v>
      </c>
      <c r="H407">
        <v>0</v>
      </c>
    </row>
    <row r="408" spans="1:8" x14ac:dyDescent="0.3">
      <c r="A408">
        <f t="shared" si="6"/>
        <v>407</v>
      </c>
      <c r="B408">
        <v>3</v>
      </c>
      <c r="C408">
        <v>10</v>
      </c>
      <c r="D408">
        <v>5</v>
      </c>
      <c r="E408">
        <v>10</v>
      </c>
      <c r="F408">
        <v>7.2542999999999997</v>
      </c>
      <c r="G408">
        <v>2.0630000000000002</v>
      </c>
      <c r="H408">
        <v>0</v>
      </c>
    </row>
    <row r="409" spans="1:8" x14ac:dyDescent="0.3">
      <c r="A409">
        <f t="shared" si="6"/>
        <v>408</v>
      </c>
      <c r="B409">
        <v>3</v>
      </c>
      <c r="C409">
        <v>10</v>
      </c>
      <c r="D409">
        <v>5</v>
      </c>
      <c r="E409">
        <v>20</v>
      </c>
      <c r="F409">
        <v>12.7171</v>
      </c>
      <c r="G409">
        <v>5.4560000000000004</v>
      </c>
      <c r="H409">
        <v>0</v>
      </c>
    </row>
    <row r="410" spans="1:8" x14ac:dyDescent="0.3">
      <c r="A410">
        <f t="shared" si="6"/>
        <v>409</v>
      </c>
      <c r="B410">
        <v>3</v>
      </c>
      <c r="C410">
        <v>10</v>
      </c>
      <c r="D410">
        <v>5</v>
      </c>
      <c r="E410">
        <v>30</v>
      </c>
      <c r="F410">
        <v>24.1066</v>
      </c>
      <c r="G410">
        <v>14.07</v>
      </c>
      <c r="H410">
        <v>10.483000000000001</v>
      </c>
    </row>
    <row r="411" spans="1:8" x14ac:dyDescent="0.3">
      <c r="A411">
        <f t="shared" si="6"/>
        <v>410</v>
      </c>
      <c r="B411">
        <v>3</v>
      </c>
      <c r="C411">
        <v>10</v>
      </c>
      <c r="D411">
        <v>5</v>
      </c>
      <c r="E411">
        <v>40</v>
      </c>
      <c r="F411">
        <v>52.375799999999998</v>
      </c>
      <c r="G411">
        <v>45.683999999999997</v>
      </c>
      <c r="H411">
        <v>58.177</v>
      </c>
    </row>
    <row r="412" spans="1:8" x14ac:dyDescent="0.3">
      <c r="A412">
        <f t="shared" si="6"/>
        <v>411</v>
      </c>
      <c r="B412">
        <v>3</v>
      </c>
      <c r="C412">
        <v>10</v>
      </c>
      <c r="D412">
        <v>10</v>
      </c>
      <c r="E412">
        <v>0</v>
      </c>
      <c r="F412">
        <v>3.9357000000000002</v>
      </c>
      <c r="G412">
        <v>0.74299999999999999</v>
      </c>
      <c r="H412">
        <v>0</v>
      </c>
    </row>
    <row r="413" spans="1:8" x14ac:dyDescent="0.3">
      <c r="A413">
        <f t="shared" si="6"/>
        <v>412</v>
      </c>
      <c r="B413">
        <v>3</v>
      </c>
      <c r="C413">
        <v>10</v>
      </c>
      <c r="D413">
        <v>10</v>
      </c>
      <c r="E413">
        <v>10</v>
      </c>
      <c r="F413">
        <v>6.2972999999999999</v>
      </c>
      <c r="G413">
        <v>1.7709999999999999</v>
      </c>
      <c r="H413">
        <v>0</v>
      </c>
    </row>
    <row r="414" spans="1:8" x14ac:dyDescent="0.3">
      <c r="A414">
        <f t="shared" si="6"/>
        <v>413</v>
      </c>
      <c r="B414">
        <v>3</v>
      </c>
      <c r="C414">
        <v>10</v>
      </c>
      <c r="D414">
        <v>10</v>
      </c>
      <c r="E414">
        <v>20</v>
      </c>
      <c r="F414">
        <v>10.879300000000001</v>
      </c>
      <c r="G414">
        <v>4.47</v>
      </c>
      <c r="H414">
        <v>0</v>
      </c>
    </row>
    <row r="415" spans="1:8" x14ac:dyDescent="0.3">
      <c r="A415">
        <f t="shared" si="6"/>
        <v>414</v>
      </c>
      <c r="B415">
        <v>3</v>
      </c>
      <c r="C415">
        <v>10</v>
      </c>
      <c r="D415">
        <v>10</v>
      </c>
      <c r="E415">
        <v>30</v>
      </c>
      <c r="F415">
        <v>20.527699999999999</v>
      </c>
      <c r="G415">
        <v>12.488</v>
      </c>
      <c r="H415">
        <v>7.8440000000000003</v>
      </c>
    </row>
    <row r="416" spans="1:8" x14ac:dyDescent="0.3">
      <c r="A416">
        <f t="shared" si="6"/>
        <v>415</v>
      </c>
      <c r="B416">
        <v>3</v>
      </c>
      <c r="C416">
        <v>10</v>
      </c>
      <c r="D416">
        <v>10</v>
      </c>
      <c r="E416">
        <v>40</v>
      </c>
      <c r="F416">
        <v>43.203400000000002</v>
      </c>
      <c r="G416">
        <v>35.776000000000003</v>
      </c>
      <c r="H416">
        <v>42.320999999999998</v>
      </c>
    </row>
    <row r="417" spans="1:8" x14ac:dyDescent="0.3">
      <c r="A417">
        <f t="shared" si="6"/>
        <v>416</v>
      </c>
      <c r="B417">
        <v>3</v>
      </c>
      <c r="C417">
        <v>10</v>
      </c>
      <c r="D417">
        <v>15</v>
      </c>
      <c r="E417">
        <v>0</v>
      </c>
      <c r="F417">
        <v>3.3241000000000001</v>
      </c>
      <c r="G417">
        <v>0.41</v>
      </c>
      <c r="H417">
        <v>0</v>
      </c>
    </row>
    <row r="418" spans="1:8" x14ac:dyDescent="0.3">
      <c r="A418">
        <f t="shared" si="6"/>
        <v>417</v>
      </c>
      <c r="B418">
        <v>3</v>
      </c>
      <c r="C418">
        <v>10</v>
      </c>
      <c r="D418">
        <v>15</v>
      </c>
      <c r="E418">
        <v>10</v>
      </c>
      <c r="F418">
        <v>5.2869999999999999</v>
      </c>
      <c r="G418">
        <v>1.3440000000000001</v>
      </c>
      <c r="H418">
        <v>0</v>
      </c>
    </row>
    <row r="419" spans="1:8" x14ac:dyDescent="0.3">
      <c r="A419">
        <f t="shared" si="6"/>
        <v>418</v>
      </c>
      <c r="B419">
        <v>3</v>
      </c>
      <c r="C419">
        <v>10</v>
      </c>
      <c r="D419">
        <v>15</v>
      </c>
      <c r="E419">
        <v>20</v>
      </c>
      <c r="F419">
        <v>9.0189000000000004</v>
      </c>
      <c r="G419">
        <v>3.8340000000000001</v>
      </c>
      <c r="H419">
        <v>0</v>
      </c>
    </row>
    <row r="420" spans="1:8" x14ac:dyDescent="0.3">
      <c r="A420">
        <f t="shared" si="6"/>
        <v>419</v>
      </c>
      <c r="B420">
        <v>3</v>
      </c>
      <c r="C420">
        <v>10</v>
      </c>
      <c r="D420">
        <v>15</v>
      </c>
      <c r="E420">
        <v>30</v>
      </c>
      <c r="F420">
        <v>17.099699999999999</v>
      </c>
      <c r="G420">
        <v>10.515000000000001</v>
      </c>
      <c r="H420">
        <v>2.4235000000000002</v>
      </c>
    </row>
    <row r="421" spans="1:8" x14ac:dyDescent="0.3">
      <c r="A421">
        <f t="shared" si="6"/>
        <v>420</v>
      </c>
      <c r="B421">
        <v>3</v>
      </c>
      <c r="C421">
        <v>10</v>
      </c>
      <c r="D421">
        <v>15</v>
      </c>
      <c r="E421">
        <v>40</v>
      </c>
      <c r="F421">
        <v>34.715200000000003</v>
      </c>
      <c r="G421">
        <v>29.183</v>
      </c>
      <c r="H421">
        <v>28.893000000000001</v>
      </c>
    </row>
    <row r="422" spans="1:8" x14ac:dyDescent="0.3">
      <c r="A422">
        <f t="shared" si="6"/>
        <v>421</v>
      </c>
      <c r="B422">
        <v>3</v>
      </c>
      <c r="C422">
        <v>10</v>
      </c>
      <c r="D422">
        <v>20</v>
      </c>
      <c r="E422">
        <v>0</v>
      </c>
      <c r="F422">
        <v>2.7033999999999998</v>
      </c>
      <c r="G422">
        <v>0.152</v>
      </c>
      <c r="H422">
        <v>0</v>
      </c>
    </row>
    <row r="423" spans="1:8" x14ac:dyDescent="0.3">
      <c r="A423">
        <f t="shared" si="6"/>
        <v>422</v>
      </c>
      <c r="B423">
        <v>3</v>
      </c>
      <c r="C423">
        <v>10</v>
      </c>
      <c r="D423">
        <v>20</v>
      </c>
      <c r="E423">
        <v>10</v>
      </c>
      <c r="F423">
        <v>4.3038999999999996</v>
      </c>
      <c r="G423">
        <v>0.91900000000000004</v>
      </c>
      <c r="H423">
        <v>0</v>
      </c>
    </row>
    <row r="424" spans="1:8" x14ac:dyDescent="0.3">
      <c r="A424">
        <f t="shared" si="6"/>
        <v>423</v>
      </c>
      <c r="B424">
        <v>3</v>
      </c>
      <c r="C424">
        <v>10</v>
      </c>
      <c r="D424">
        <v>20</v>
      </c>
      <c r="E424">
        <v>20</v>
      </c>
      <c r="F424">
        <v>7.2850999999999999</v>
      </c>
      <c r="G424">
        <v>2.7469999999999999</v>
      </c>
      <c r="H424">
        <v>0</v>
      </c>
    </row>
    <row r="425" spans="1:8" x14ac:dyDescent="0.3">
      <c r="A425">
        <f t="shared" si="6"/>
        <v>424</v>
      </c>
      <c r="B425">
        <v>3</v>
      </c>
      <c r="C425">
        <v>10</v>
      </c>
      <c r="D425">
        <v>20</v>
      </c>
      <c r="E425">
        <v>30</v>
      </c>
      <c r="F425">
        <v>13.6051</v>
      </c>
      <c r="G425">
        <v>7.8029999999999999</v>
      </c>
      <c r="H425">
        <v>0</v>
      </c>
    </row>
    <row r="426" spans="1:8" x14ac:dyDescent="0.3">
      <c r="A426">
        <f t="shared" si="6"/>
        <v>425</v>
      </c>
      <c r="B426">
        <v>3</v>
      </c>
      <c r="C426">
        <v>10</v>
      </c>
      <c r="D426">
        <v>20</v>
      </c>
      <c r="E426">
        <v>40</v>
      </c>
      <c r="F426">
        <v>27.658999999999999</v>
      </c>
      <c r="G426">
        <v>23.385000000000002</v>
      </c>
      <c r="H426">
        <v>18.372</v>
      </c>
    </row>
    <row r="427" spans="1:8" x14ac:dyDescent="0.3">
      <c r="A427">
        <f t="shared" si="6"/>
        <v>426</v>
      </c>
      <c r="B427">
        <v>3</v>
      </c>
      <c r="C427">
        <v>20</v>
      </c>
      <c r="D427">
        <v>0</v>
      </c>
      <c r="E427">
        <v>0</v>
      </c>
      <c r="F427">
        <v>4.9664000000000001</v>
      </c>
      <c r="G427">
        <v>0.98399999999999999</v>
      </c>
      <c r="H427">
        <v>0</v>
      </c>
    </row>
    <row r="428" spans="1:8" x14ac:dyDescent="0.3">
      <c r="A428">
        <f t="shared" si="6"/>
        <v>427</v>
      </c>
      <c r="B428">
        <v>3</v>
      </c>
      <c r="C428">
        <v>20</v>
      </c>
      <c r="D428">
        <v>0</v>
      </c>
      <c r="E428">
        <v>10</v>
      </c>
      <c r="F428">
        <v>8.1231000000000009</v>
      </c>
      <c r="G428">
        <v>2.4350000000000001</v>
      </c>
      <c r="H428">
        <v>0</v>
      </c>
    </row>
    <row r="429" spans="1:8" x14ac:dyDescent="0.3">
      <c r="A429">
        <f t="shared" si="6"/>
        <v>428</v>
      </c>
      <c r="B429">
        <v>3</v>
      </c>
      <c r="C429">
        <v>20</v>
      </c>
      <c r="D429">
        <v>0</v>
      </c>
      <c r="E429">
        <v>20</v>
      </c>
      <c r="F429">
        <v>14.092000000000001</v>
      </c>
      <c r="G429">
        <v>6.3289999999999997</v>
      </c>
      <c r="H429">
        <v>2.5329999999999999</v>
      </c>
    </row>
    <row r="430" spans="1:8" x14ac:dyDescent="0.3">
      <c r="A430">
        <f t="shared" si="6"/>
        <v>429</v>
      </c>
      <c r="B430">
        <v>3</v>
      </c>
      <c r="C430">
        <v>20</v>
      </c>
      <c r="D430">
        <v>0</v>
      </c>
      <c r="E430">
        <v>30</v>
      </c>
      <c r="F430">
        <v>24.981000000000002</v>
      </c>
      <c r="G430">
        <v>15.223000000000001</v>
      </c>
      <c r="H430">
        <v>12.926</v>
      </c>
    </row>
    <row r="431" spans="1:8" x14ac:dyDescent="0.3">
      <c r="A431">
        <f t="shared" si="6"/>
        <v>430</v>
      </c>
      <c r="B431">
        <v>3</v>
      </c>
      <c r="C431">
        <v>20</v>
      </c>
      <c r="D431">
        <v>0</v>
      </c>
      <c r="E431">
        <v>40</v>
      </c>
      <c r="F431">
        <v>50.735399999999998</v>
      </c>
      <c r="G431">
        <v>45.503999999999998</v>
      </c>
      <c r="H431">
        <v>65.972999999999999</v>
      </c>
    </row>
    <row r="432" spans="1:8" x14ac:dyDescent="0.3">
      <c r="A432">
        <f t="shared" si="6"/>
        <v>431</v>
      </c>
      <c r="B432">
        <v>3</v>
      </c>
      <c r="C432">
        <v>20</v>
      </c>
      <c r="D432">
        <v>5</v>
      </c>
      <c r="E432">
        <v>0</v>
      </c>
      <c r="F432">
        <v>4.4874999999999998</v>
      </c>
      <c r="G432">
        <v>0.90100000000000002</v>
      </c>
      <c r="H432">
        <v>0</v>
      </c>
    </row>
    <row r="433" spans="1:8" x14ac:dyDescent="0.3">
      <c r="A433">
        <f t="shared" si="6"/>
        <v>432</v>
      </c>
      <c r="B433">
        <v>3</v>
      </c>
      <c r="C433">
        <v>20</v>
      </c>
      <c r="D433">
        <v>5</v>
      </c>
      <c r="E433">
        <v>10</v>
      </c>
      <c r="F433">
        <v>7.2442000000000002</v>
      </c>
      <c r="G433">
        <v>2.2040000000000002</v>
      </c>
      <c r="H433">
        <v>0</v>
      </c>
    </row>
    <row r="434" spans="1:8" x14ac:dyDescent="0.3">
      <c r="A434">
        <f t="shared" si="6"/>
        <v>433</v>
      </c>
      <c r="B434">
        <v>3</v>
      </c>
      <c r="C434">
        <v>20</v>
      </c>
      <c r="D434">
        <v>5</v>
      </c>
      <c r="E434">
        <v>20</v>
      </c>
      <c r="F434">
        <v>12.6981</v>
      </c>
      <c r="G434">
        <v>5.7190000000000003</v>
      </c>
      <c r="H434">
        <v>0</v>
      </c>
    </row>
    <row r="435" spans="1:8" x14ac:dyDescent="0.3">
      <c r="A435">
        <f t="shared" si="6"/>
        <v>434</v>
      </c>
      <c r="B435">
        <v>3</v>
      </c>
      <c r="C435">
        <v>20</v>
      </c>
      <c r="D435">
        <v>5</v>
      </c>
      <c r="E435">
        <v>30</v>
      </c>
      <c r="F435">
        <v>22.489899999999999</v>
      </c>
      <c r="G435">
        <v>14.06</v>
      </c>
      <c r="H435">
        <v>10.462</v>
      </c>
    </row>
    <row r="436" spans="1:8" x14ac:dyDescent="0.3">
      <c r="A436">
        <f t="shared" si="6"/>
        <v>435</v>
      </c>
      <c r="B436">
        <v>3</v>
      </c>
      <c r="C436">
        <v>20</v>
      </c>
      <c r="D436">
        <v>5</v>
      </c>
      <c r="E436">
        <v>40</v>
      </c>
      <c r="F436">
        <v>45.1143</v>
      </c>
      <c r="G436">
        <v>37.918999999999997</v>
      </c>
      <c r="H436">
        <v>57.098399999999998</v>
      </c>
    </row>
    <row r="437" spans="1:8" x14ac:dyDescent="0.3">
      <c r="A437">
        <f t="shared" si="6"/>
        <v>436</v>
      </c>
      <c r="B437">
        <v>3</v>
      </c>
      <c r="C437">
        <v>20</v>
      </c>
      <c r="D437">
        <v>10</v>
      </c>
      <c r="E437">
        <v>0</v>
      </c>
      <c r="F437">
        <v>3.9272</v>
      </c>
      <c r="G437">
        <v>0.73399999999999999</v>
      </c>
      <c r="H437">
        <v>0</v>
      </c>
    </row>
    <row r="438" spans="1:8" x14ac:dyDescent="0.3">
      <c r="A438">
        <f t="shared" si="6"/>
        <v>437</v>
      </c>
      <c r="B438">
        <v>3</v>
      </c>
      <c r="C438">
        <v>20</v>
      </c>
      <c r="D438">
        <v>10</v>
      </c>
      <c r="E438">
        <v>10</v>
      </c>
      <c r="F438">
        <v>6.2884000000000002</v>
      </c>
      <c r="G438">
        <v>1.841</v>
      </c>
      <c r="H438">
        <v>0</v>
      </c>
    </row>
    <row r="439" spans="1:8" x14ac:dyDescent="0.3">
      <c r="A439">
        <f t="shared" si="6"/>
        <v>438</v>
      </c>
      <c r="B439">
        <v>3</v>
      </c>
      <c r="C439">
        <v>20</v>
      </c>
      <c r="D439">
        <v>10</v>
      </c>
      <c r="E439">
        <v>20</v>
      </c>
      <c r="F439">
        <v>10.823</v>
      </c>
      <c r="G439">
        <v>4.8719999999999999</v>
      </c>
      <c r="H439">
        <v>0</v>
      </c>
    </row>
    <row r="440" spans="1:8" x14ac:dyDescent="0.3">
      <c r="A440">
        <f t="shared" si="6"/>
        <v>439</v>
      </c>
      <c r="B440">
        <v>3</v>
      </c>
      <c r="C440">
        <v>20</v>
      </c>
      <c r="D440">
        <v>10</v>
      </c>
      <c r="E440">
        <v>30</v>
      </c>
      <c r="F440">
        <v>19.410599999999999</v>
      </c>
      <c r="G440">
        <v>11.539</v>
      </c>
      <c r="H440">
        <v>7.7430000000000003</v>
      </c>
    </row>
    <row r="441" spans="1:8" x14ac:dyDescent="0.3">
      <c r="A441">
        <f t="shared" si="6"/>
        <v>440</v>
      </c>
      <c r="B441">
        <v>3</v>
      </c>
      <c r="C441">
        <v>20</v>
      </c>
      <c r="D441">
        <v>10</v>
      </c>
      <c r="E441">
        <v>40</v>
      </c>
      <c r="F441">
        <v>37.5428</v>
      </c>
      <c r="G441">
        <v>32.878</v>
      </c>
      <c r="H441">
        <v>41.103000000000002</v>
      </c>
    </row>
    <row r="442" spans="1:8" x14ac:dyDescent="0.3">
      <c r="A442">
        <f t="shared" si="6"/>
        <v>441</v>
      </c>
      <c r="B442">
        <v>3</v>
      </c>
      <c r="C442">
        <v>20</v>
      </c>
      <c r="D442">
        <v>15</v>
      </c>
      <c r="E442">
        <v>0</v>
      </c>
      <c r="F442">
        <v>3.3220999999999998</v>
      </c>
      <c r="G442">
        <v>0.433</v>
      </c>
      <c r="H442">
        <v>0</v>
      </c>
    </row>
    <row r="443" spans="1:8" x14ac:dyDescent="0.3">
      <c r="A443">
        <f t="shared" si="6"/>
        <v>442</v>
      </c>
      <c r="B443">
        <v>3</v>
      </c>
      <c r="C443">
        <v>20</v>
      </c>
      <c r="D443">
        <v>15</v>
      </c>
      <c r="E443">
        <v>10</v>
      </c>
      <c r="F443">
        <v>5.2896999999999998</v>
      </c>
      <c r="G443">
        <v>1.401</v>
      </c>
      <c r="H443">
        <v>0</v>
      </c>
    </row>
    <row r="444" spans="1:8" x14ac:dyDescent="0.3">
      <c r="A444">
        <f t="shared" si="6"/>
        <v>443</v>
      </c>
      <c r="B444">
        <v>3</v>
      </c>
      <c r="C444">
        <v>20</v>
      </c>
      <c r="D444">
        <v>15</v>
      </c>
      <c r="E444">
        <v>20</v>
      </c>
      <c r="F444">
        <v>9.0132999999999992</v>
      </c>
      <c r="G444">
        <v>3.637</v>
      </c>
      <c r="H444">
        <v>0</v>
      </c>
    </row>
    <row r="445" spans="1:8" x14ac:dyDescent="0.3">
      <c r="A445">
        <f t="shared" si="6"/>
        <v>444</v>
      </c>
      <c r="B445">
        <v>3</v>
      </c>
      <c r="C445">
        <v>20</v>
      </c>
      <c r="D445">
        <v>15</v>
      </c>
      <c r="E445">
        <v>30</v>
      </c>
      <c r="F445">
        <v>16.519500000000001</v>
      </c>
      <c r="G445">
        <v>9.9130000000000003</v>
      </c>
      <c r="H445">
        <v>3.2791999999999999</v>
      </c>
    </row>
    <row r="446" spans="1:8" x14ac:dyDescent="0.3">
      <c r="A446">
        <f t="shared" si="6"/>
        <v>445</v>
      </c>
      <c r="B446">
        <v>3</v>
      </c>
      <c r="C446">
        <v>20</v>
      </c>
      <c r="D446">
        <v>15</v>
      </c>
      <c r="E446">
        <v>40</v>
      </c>
      <c r="F446">
        <v>30.831199999999999</v>
      </c>
      <c r="G446">
        <v>26.085000000000001</v>
      </c>
      <c r="H446">
        <v>28.435600000000001</v>
      </c>
    </row>
    <row r="447" spans="1:8" x14ac:dyDescent="0.3">
      <c r="A447">
        <f t="shared" si="6"/>
        <v>446</v>
      </c>
      <c r="B447">
        <v>3</v>
      </c>
      <c r="C447">
        <v>20</v>
      </c>
      <c r="D447">
        <v>20</v>
      </c>
      <c r="E447">
        <v>0</v>
      </c>
      <c r="F447">
        <v>2.7058</v>
      </c>
      <c r="G447">
        <v>0.14899999999999999</v>
      </c>
      <c r="H447">
        <v>0</v>
      </c>
    </row>
    <row r="448" spans="1:8" x14ac:dyDescent="0.3">
      <c r="A448">
        <f t="shared" si="6"/>
        <v>447</v>
      </c>
      <c r="B448">
        <v>3</v>
      </c>
      <c r="C448">
        <v>20</v>
      </c>
      <c r="D448">
        <v>20</v>
      </c>
      <c r="E448">
        <v>10</v>
      </c>
      <c r="F448">
        <v>4.2988999999999997</v>
      </c>
      <c r="G448">
        <v>0.99299999999999999</v>
      </c>
      <c r="H448">
        <v>0</v>
      </c>
    </row>
    <row r="449" spans="1:8" x14ac:dyDescent="0.3">
      <c r="A449">
        <f t="shared" si="6"/>
        <v>448</v>
      </c>
      <c r="B449">
        <v>3</v>
      </c>
      <c r="C449">
        <v>20</v>
      </c>
      <c r="D449">
        <v>20</v>
      </c>
      <c r="E449">
        <v>20</v>
      </c>
      <c r="F449">
        <v>7.2858000000000001</v>
      </c>
      <c r="G449">
        <v>2.7589999999999999</v>
      </c>
      <c r="H449">
        <v>0</v>
      </c>
    </row>
    <row r="450" spans="1:8" x14ac:dyDescent="0.3">
      <c r="A450">
        <f t="shared" si="6"/>
        <v>449</v>
      </c>
      <c r="B450">
        <v>3</v>
      </c>
      <c r="C450">
        <v>20</v>
      </c>
      <c r="D450">
        <v>20</v>
      </c>
      <c r="E450">
        <v>30</v>
      </c>
      <c r="F450">
        <v>13.555199999999999</v>
      </c>
      <c r="G450">
        <v>7.9169999999999998</v>
      </c>
      <c r="H450">
        <v>0</v>
      </c>
    </row>
    <row r="451" spans="1:8" x14ac:dyDescent="0.3">
      <c r="A451">
        <f t="shared" si="6"/>
        <v>450</v>
      </c>
      <c r="B451">
        <v>3</v>
      </c>
      <c r="C451">
        <v>20</v>
      </c>
      <c r="D451">
        <v>20</v>
      </c>
      <c r="E451">
        <v>40</v>
      </c>
      <c r="F451">
        <v>24.967700000000001</v>
      </c>
      <c r="G451">
        <v>21.289000000000001</v>
      </c>
      <c r="H451">
        <v>18.63</v>
      </c>
    </row>
    <row r="452" spans="1:8" x14ac:dyDescent="0.3">
      <c r="A452">
        <f t="shared" si="6"/>
        <v>451</v>
      </c>
      <c r="B452">
        <v>3</v>
      </c>
      <c r="C452">
        <v>30</v>
      </c>
      <c r="D452">
        <v>0</v>
      </c>
      <c r="E452">
        <v>0</v>
      </c>
      <c r="F452">
        <v>4.9656000000000002</v>
      </c>
      <c r="G452">
        <v>0.99</v>
      </c>
      <c r="H452">
        <v>0</v>
      </c>
    </row>
    <row r="453" spans="1:8" x14ac:dyDescent="0.3">
      <c r="A453">
        <f t="shared" ref="A453:A501" si="7">A452+1</f>
        <v>452</v>
      </c>
      <c r="B453">
        <v>3</v>
      </c>
      <c r="C453">
        <v>30</v>
      </c>
      <c r="D453">
        <v>0</v>
      </c>
      <c r="E453">
        <v>10</v>
      </c>
      <c r="F453">
        <v>8.1272000000000002</v>
      </c>
      <c r="G453">
        <v>2.4590000000000001</v>
      </c>
      <c r="H453">
        <v>0</v>
      </c>
    </row>
    <row r="454" spans="1:8" x14ac:dyDescent="0.3">
      <c r="A454">
        <f t="shared" si="7"/>
        <v>453</v>
      </c>
      <c r="B454">
        <v>3</v>
      </c>
      <c r="C454">
        <v>30</v>
      </c>
      <c r="D454">
        <v>0</v>
      </c>
      <c r="E454">
        <v>20</v>
      </c>
      <c r="F454">
        <v>13.3893</v>
      </c>
      <c r="G454">
        <v>5.87</v>
      </c>
      <c r="H454">
        <v>0</v>
      </c>
    </row>
    <row r="455" spans="1:8" x14ac:dyDescent="0.3">
      <c r="A455">
        <f t="shared" si="7"/>
        <v>454</v>
      </c>
      <c r="B455">
        <v>3</v>
      </c>
      <c r="C455">
        <v>30</v>
      </c>
      <c r="D455">
        <v>0</v>
      </c>
      <c r="E455">
        <v>30</v>
      </c>
      <c r="F455">
        <v>22.486499999999999</v>
      </c>
      <c r="G455">
        <v>14.255000000000001</v>
      </c>
      <c r="H455">
        <v>0</v>
      </c>
    </row>
    <row r="456" spans="1:8" x14ac:dyDescent="0.3">
      <c r="A456">
        <f t="shared" si="7"/>
        <v>455</v>
      </c>
      <c r="B456">
        <v>3</v>
      </c>
      <c r="C456">
        <v>30</v>
      </c>
      <c r="D456">
        <v>0</v>
      </c>
      <c r="E456">
        <v>40</v>
      </c>
      <c r="F456">
        <v>42.095100000000002</v>
      </c>
      <c r="G456">
        <v>36.665999999999997</v>
      </c>
      <c r="H456">
        <v>59.231999999999999</v>
      </c>
    </row>
    <row r="457" spans="1:8" x14ac:dyDescent="0.3">
      <c r="A457">
        <f t="shared" si="7"/>
        <v>456</v>
      </c>
      <c r="B457">
        <v>3</v>
      </c>
      <c r="C457">
        <v>30</v>
      </c>
      <c r="D457">
        <v>5</v>
      </c>
      <c r="E457">
        <v>0</v>
      </c>
      <c r="F457">
        <v>4.4781000000000004</v>
      </c>
      <c r="G457">
        <v>0.89</v>
      </c>
      <c r="H457">
        <v>0</v>
      </c>
    </row>
    <row r="458" spans="1:8" x14ac:dyDescent="0.3">
      <c r="A458">
        <f t="shared" si="7"/>
        <v>457</v>
      </c>
      <c r="B458">
        <v>3</v>
      </c>
      <c r="C458">
        <v>30</v>
      </c>
      <c r="D458">
        <v>5</v>
      </c>
      <c r="E458">
        <v>10</v>
      </c>
      <c r="F458">
        <v>7.2531999999999996</v>
      </c>
      <c r="G458">
        <v>2.0590000000000002</v>
      </c>
      <c r="H458">
        <v>0</v>
      </c>
    </row>
    <row r="459" spans="1:8" x14ac:dyDescent="0.3">
      <c r="A459">
        <f t="shared" si="7"/>
        <v>458</v>
      </c>
      <c r="B459">
        <v>3</v>
      </c>
      <c r="C459">
        <v>30</v>
      </c>
      <c r="D459">
        <v>5</v>
      </c>
      <c r="E459">
        <v>20</v>
      </c>
      <c r="F459">
        <v>12.3688</v>
      </c>
      <c r="G459">
        <v>5.9180000000000001</v>
      </c>
      <c r="H459">
        <v>0</v>
      </c>
    </row>
    <row r="460" spans="1:8" x14ac:dyDescent="0.3">
      <c r="A460">
        <f t="shared" si="7"/>
        <v>459</v>
      </c>
      <c r="B460">
        <v>3</v>
      </c>
      <c r="C460">
        <v>30</v>
      </c>
      <c r="D460">
        <v>5</v>
      </c>
      <c r="E460">
        <v>30</v>
      </c>
      <c r="F460">
        <v>20.660699999999999</v>
      </c>
      <c r="G460">
        <v>13.417999999999999</v>
      </c>
      <c r="H460">
        <v>0</v>
      </c>
    </row>
    <row r="461" spans="1:8" x14ac:dyDescent="0.3">
      <c r="A461">
        <f t="shared" si="7"/>
        <v>460</v>
      </c>
      <c r="B461">
        <v>3</v>
      </c>
      <c r="C461">
        <v>30</v>
      </c>
      <c r="D461">
        <v>5</v>
      </c>
      <c r="E461">
        <v>40</v>
      </c>
      <c r="F461">
        <v>38.633699999999997</v>
      </c>
      <c r="G461">
        <v>30.832999999999998</v>
      </c>
      <c r="H461">
        <v>52.725999999999999</v>
      </c>
    </row>
    <row r="462" spans="1:8" x14ac:dyDescent="0.3">
      <c r="A462">
        <f t="shared" si="7"/>
        <v>461</v>
      </c>
      <c r="B462">
        <v>3</v>
      </c>
      <c r="C462">
        <v>30</v>
      </c>
      <c r="D462">
        <v>10</v>
      </c>
      <c r="E462">
        <v>0</v>
      </c>
      <c r="F462">
        <v>3.9285999999999999</v>
      </c>
      <c r="G462">
        <v>0.70599999999999996</v>
      </c>
      <c r="H462">
        <v>0</v>
      </c>
    </row>
    <row r="463" spans="1:8" x14ac:dyDescent="0.3">
      <c r="A463">
        <f t="shared" si="7"/>
        <v>462</v>
      </c>
      <c r="B463">
        <v>3</v>
      </c>
      <c r="C463">
        <v>30</v>
      </c>
      <c r="D463">
        <v>10</v>
      </c>
      <c r="E463">
        <v>10</v>
      </c>
      <c r="F463">
        <v>6.2904</v>
      </c>
      <c r="G463">
        <v>1.764</v>
      </c>
      <c r="H463">
        <v>0</v>
      </c>
    </row>
    <row r="464" spans="1:8" x14ac:dyDescent="0.3">
      <c r="A464">
        <f t="shared" si="7"/>
        <v>463</v>
      </c>
      <c r="B464">
        <v>3</v>
      </c>
      <c r="C464">
        <v>30</v>
      </c>
      <c r="D464">
        <v>10</v>
      </c>
      <c r="E464">
        <v>20</v>
      </c>
      <c r="F464">
        <v>10.837300000000001</v>
      </c>
      <c r="G464">
        <v>4.7270000000000003</v>
      </c>
      <c r="H464">
        <v>0</v>
      </c>
    </row>
    <row r="465" spans="1:8" x14ac:dyDescent="0.3">
      <c r="A465">
        <f t="shared" si="7"/>
        <v>464</v>
      </c>
      <c r="B465">
        <v>3</v>
      </c>
      <c r="C465">
        <v>30</v>
      </c>
      <c r="D465">
        <v>10</v>
      </c>
      <c r="E465">
        <v>30</v>
      </c>
      <c r="F465">
        <v>18.0349</v>
      </c>
      <c r="G465">
        <v>11.112</v>
      </c>
      <c r="H465">
        <v>0</v>
      </c>
    </row>
    <row r="466" spans="1:8" x14ac:dyDescent="0.3">
      <c r="A466">
        <f t="shared" si="7"/>
        <v>465</v>
      </c>
      <c r="B466">
        <v>3</v>
      </c>
      <c r="C466">
        <v>30</v>
      </c>
      <c r="D466">
        <v>10</v>
      </c>
      <c r="E466">
        <v>40</v>
      </c>
      <c r="F466">
        <v>32.505099999999999</v>
      </c>
      <c r="G466">
        <v>27.875</v>
      </c>
      <c r="H466">
        <v>40.093000000000004</v>
      </c>
    </row>
    <row r="467" spans="1:8" x14ac:dyDescent="0.3">
      <c r="A467">
        <f t="shared" si="7"/>
        <v>466</v>
      </c>
      <c r="B467">
        <v>3</v>
      </c>
      <c r="C467">
        <v>30</v>
      </c>
      <c r="D467">
        <v>15</v>
      </c>
      <c r="E467">
        <v>0</v>
      </c>
      <c r="F467">
        <v>3.3187000000000002</v>
      </c>
      <c r="G467">
        <v>0.44700000000000001</v>
      </c>
      <c r="H467">
        <v>0</v>
      </c>
    </row>
    <row r="468" spans="1:8" x14ac:dyDescent="0.3">
      <c r="A468">
        <f t="shared" si="7"/>
        <v>467</v>
      </c>
      <c r="B468">
        <v>3</v>
      </c>
      <c r="C468">
        <v>30</v>
      </c>
      <c r="D468">
        <v>15</v>
      </c>
      <c r="E468">
        <v>10</v>
      </c>
      <c r="F468">
        <v>5.2766999999999999</v>
      </c>
      <c r="G468">
        <v>1.4339999999999999</v>
      </c>
      <c r="H468">
        <v>0</v>
      </c>
    </row>
    <row r="469" spans="1:8" x14ac:dyDescent="0.3">
      <c r="A469">
        <f t="shared" si="7"/>
        <v>468</v>
      </c>
      <c r="B469">
        <v>3</v>
      </c>
      <c r="C469">
        <v>30</v>
      </c>
      <c r="D469">
        <v>15</v>
      </c>
      <c r="E469">
        <v>20</v>
      </c>
      <c r="F469">
        <v>9.016</v>
      </c>
      <c r="G469">
        <v>3.766</v>
      </c>
      <c r="H469">
        <v>0</v>
      </c>
    </row>
    <row r="470" spans="1:8" x14ac:dyDescent="0.3">
      <c r="A470">
        <f t="shared" si="7"/>
        <v>469</v>
      </c>
      <c r="B470">
        <v>3</v>
      </c>
      <c r="C470">
        <v>30</v>
      </c>
      <c r="D470">
        <v>15</v>
      </c>
      <c r="E470">
        <v>30</v>
      </c>
      <c r="F470">
        <v>15.533200000000001</v>
      </c>
      <c r="G470">
        <v>9.4559999999999995</v>
      </c>
      <c r="H470">
        <v>0</v>
      </c>
    </row>
    <row r="471" spans="1:8" x14ac:dyDescent="0.3">
      <c r="A471">
        <f t="shared" si="7"/>
        <v>470</v>
      </c>
      <c r="B471">
        <v>3</v>
      </c>
      <c r="C471">
        <v>30</v>
      </c>
      <c r="D471">
        <v>15</v>
      </c>
      <c r="E471">
        <v>40</v>
      </c>
      <c r="F471">
        <v>27.0029</v>
      </c>
      <c r="G471">
        <v>23.728000000000002</v>
      </c>
      <c r="H471">
        <v>28.434999999999999</v>
      </c>
    </row>
    <row r="472" spans="1:8" x14ac:dyDescent="0.3">
      <c r="A472">
        <f t="shared" si="7"/>
        <v>471</v>
      </c>
      <c r="B472">
        <v>3</v>
      </c>
      <c r="C472">
        <v>30</v>
      </c>
      <c r="D472">
        <v>20</v>
      </c>
      <c r="E472">
        <v>0</v>
      </c>
      <c r="F472">
        <v>2.7048999999999999</v>
      </c>
      <c r="G472">
        <v>0.128</v>
      </c>
      <c r="H472">
        <v>0</v>
      </c>
    </row>
    <row r="473" spans="1:8" x14ac:dyDescent="0.3">
      <c r="A473">
        <f t="shared" si="7"/>
        <v>472</v>
      </c>
      <c r="B473">
        <v>3</v>
      </c>
      <c r="C473">
        <v>30</v>
      </c>
      <c r="D473">
        <v>20</v>
      </c>
      <c r="E473">
        <v>10</v>
      </c>
      <c r="F473">
        <v>4.2977999999999996</v>
      </c>
      <c r="G473">
        <v>0.99399999999999999</v>
      </c>
      <c r="H473">
        <v>0</v>
      </c>
    </row>
    <row r="474" spans="1:8" x14ac:dyDescent="0.3">
      <c r="A474">
        <f t="shared" si="7"/>
        <v>473</v>
      </c>
      <c r="B474">
        <v>3</v>
      </c>
      <c r="C474">
        <v>30</v>
      </c>
      <c r="D474">
        <v>20</v>
      </c>
      <c r="E474">
        <v>20</v>
      </c>
      <c r="F474">
        <v>7.2762000000000002</v>
      </c>
      <c r="G474">
        <v>2.79</v>
      </c>
      <c r="H474">
        <v>0</v>
      </c>
    </row>
    <row r="475" spans="1:8" x14ac:dyDescent="0.3">
      <c r="A475">
        <f t="shared" si="7"/>
        <v>474</v>
      </c>
      <c r="B475">
        <v>3</v>
      </c>
      <c r="C475">
        <v>30</v>
      </c>
      <c r="D475">
        <v>20</v>
      </c>
      <c r="E475">
        <v>30</v>
      </c>
      <c r="F475">
        <v>13.204499999999999</v>
      </c>
      <c r="G475">
        <v>8.2650000000000006</v>
      </c>
      <c r="H475">
        <v>0</v>
      </c>
    </row>
    <row r="476" spans="1:8" x14ac:dyDescent="0.3">
      <c r="A476">
        <f t="shared" si="7"/>
        <v>475</v>
      </c>
      <c r="B476">
        <v>3</v>
      </c>
      <c r="C476">
        <v>30</v>
      </c>
      <c r="D476">
        <v>20</v>
      </c>
      <c r="E476">
        <v>40</v>
      </c>
      <c r="F476">
        <v>22.215699999999998</v>
      </c>
      <c r="G476">
        <v>17.727</v>
      </c>
      <c r="H476">
        <v>18.338000000000001</v>
      </c>
    </row>
    <row r="477" spans="1:8" x14ac:dyDescent="0.3">
      <c r="A477">
        <f t="shared" si="7"/>
        <v>476</v>
      </c>
      <c r="B477">
        <v>3</v>
      </c>
      <c r="C477">
        <v>40</v>
      </c>
      <c r="D477">
        <v>0</v>
      </c>
      <c r="E477">
        <v>0</v>
      </c>
      <c r="F477">
        <v>4.9500999999999999</v>
      </c>
      <c r="G477">
        <v>1.0102</v>
      </c>
      <c r="H477">
        <v>0</v>
      </c>
    </row>
    <row r="478" spans="1:8" x14ac:dyDescent="0.3">
      <c r="A478">
        <f t="shared" si="7"/>
        <v>477</v>
      </c>
      <c r="B478">
        <v>3</v>
      </c>
      <c r="C478">
        <v>40</v>
      </c>
      <c r="D478">
        <v>0</v>
      </c>
      <c r="E478">
        <v>10</v>
      </c>
      <c r="F478">
        <v>8.1231000000000009</v>
      </c>
      <c r="G478">
        <v>2.4750000000000001</v>
      </c>
      <c r="H478">
        <v>0</v>
      </c>
    </row>
    <row r="479" spans="1:8" x14ac:dyDescent="0.3">
      <c r="A479">
        <f t="shared" si="7"/>
        <v>478</v>
      </c>
      <c r="B479">
        <v>3</v>
      </c>
      <c r="C479">
        <v>40</v>
      </c>
      <c r="D479">
        <v>0</v>
      </c>
      <c r="E479">
        <v>20</v>
      </c>
      <c r="F479">
        <v>12.5715</v>
      </c>
      <c r="G479">
        <v>5.8609999999999998</v>
      </c>
      <c r="H479">
        <v>0</v>
      </c>
    </row>
    <row r="480" spans="1:8" x14ac:dyDescent="0.3">
      <c r="A480">
        <f t="shared" si="7"/>
        <v>479</v>
      </c>
      <c r="B480">
        <v>3</v>
      </c>
      <c r="C480">
        <v>40</v>
      </c>
      <c r="D480">
        <v>0</v>
      </c>
      <c r="E480">
        <v>30</v>
      </c>
      <c r="F480">
        <v>20.097899999999999</v>
      </c>
      <c r="G480">
        <v>12.513</v>
      </c>
      <c r="H480">
        <v>0</v>
      </c>
    </row>
    <row r="481" spans="1:8" x14ac:dyDescent="0.3">
      <c r="A481">
        <f t="shared" si="7"/>
        <v>480</v>
      </c>
      <c r="B481">
        <v>3</v>
      </c>
      <c r="C481">
        <v>40</v>
      </c>
      <c r="D481">
        <v>0</v>
      </c>
      <c r="E481">
        <v>40</v>
      </c>
      <c r="F481">
        <v>35.019199999999998</v>
      </c>
      <c r="G481">
        <v>30.687999999999999</v>
      </c>
      <c r="H481">
        <v>0</v>
      </c>
    </row>
    <row r="482" spans="1:8" x14ac:dyDescent="0.3">
      <c r="A482">
        <f t="shared" si="7"/>
        <v>481</v>
      </c>
      <c r="B482">
        <v>3</v>
      </c>
      <c r="C482">
        <v>40</v>
      </c>
      <c r="D482">
        <v>5</v>
      </c>
      <c r="E482">
        <v>0</v>
      </c>
      <c r="F482">
        <v>4.4866000000000001</v>
      </c>
      <c r="G482">
        <v>0.88200000000000001</v>
      </c>
      <c r="H482">
        <v>0</v>
      </c>
    </row>
    <row r="483" spans="1:8" x14ac:dyDescent="0.3">
      <c r="A483">
        <f t="shared" si="7"/>
        <v>482</v>
      </c>
      <c r="B483">
        <v>3</v>
      </c>
      <c r="C483">
        <v>40</v>
      </c>
      <c r="D483">
        <v>5</v>
      </c>
      <c r="E483">
        <v>10</v>
      </c>
      <c r="F483">
        <v>7.2384000000000004</v>
      </c>
      <c r="G483">
        <v>2.15</v>
      </c>
      <c r="H483">
        <v>0</v>
      </c>
    </row>
    <row r="484" spans="1:8" x14ac:dyDescent="0.3">
      <c r="A484">
        <f t="shared" si="7"/>
        <v>483</v>
      </c>
      <c r="B484">
        <v>3</v>
      </c>
      <c r="C484">
        <v>40</v>
      </c>
      <c r="D484">
        <v>5</v>
      </c>
      <c r="E484">
        <v>20</v>
      </c>
      <c r="F484">
        <v>11.823</v>
      </c>
      <c r="G484">
        <v>5.2359999999999998</v>
      </c>
      <c r="H484">
        <v>0</v>
      </c>
    </row>
    <row r="485" spans="1:8" x14ac:dyDescent="0.3">
      <c r="A485">
        <f t="shared" si="7"/>
        <v>484</v>
      </c>
      <c r="B485">
        <v>3</v>
      </c>
      <c r="C485">
        <v>40</v>
      </c>
      <c r="D485">
        <v>5</v>
      </c>
      <c r="E485">
        <v>30</v>
      </c>
      <c r="F485">
        <v>18.775600000000001</v>
      </c>
      <c r="G485">
        <v>11.907</v>
      </c>
      <c r="H485">
        <v>0</v>
      </c>
    </row>
    <row r="486" spans="1:8" x14ac:dyDescent="0.3">
      <c r="A486">
        <f t="shared" si="7"/>
        <v>485</v>
      </c>
      <c r="B486">
        <v>3</v>
      </c>
      <c r="C486">
        <v>40</v>
      </c>
      <c r="D486">
        <v>5</v>
      </c>
      <c r="E486">
        <v>40</v>
      </c>
      <c r="F486">
        <v>32.539400000000001</v>
      </c>
      <c r="G486">
        <v>28.454000000000001</v>
      </c>
      <c r="H486">
        <v>0</v>
      </c>
    </row>
    <row r="487" spans="1:8" x14ac:dyDescent="0.3">
      <c r="A487">
        <f t="shared" si="7"/>
        <v>486</v>
      </c>
      <c r="B487">
        <v>3</v>
      </c>
      <c r="C487">
        <v>40</v>
      </c>
      <c r="D487">
        <v>10</v>
      </c>
      <c r="E487">
        <v>0</v>
      </c>
      <c r="F487">
        <v>3.9209000000000001</v>
      </c>
      <c r="G487">
        <v>0.82399999999999995</v>
      </c>
      <c r="H487">
        <v>0</v>
      </c>
    </row>
    <row r="488" spans="1:8" x14ac:dyDescent="0.3">
      <c r="A488">
        <f t="shared" si="7"/>
        <v>487</v>
      </c>
      <c r="B488">
        <v>3</v>
      </c>
      <c r="C488">
        <v>40</v>
      </c>
      <c r="D488">
        <v>10</v>
      </c>
      <c r="E488">
        <v>10</v>
      </c>
      <c r="F488">
        <v>6.2760999999999996</v>
      </c>
      <c r="G488">
        <v>1.9039999999999999</v>
      </c>
      <c r="H488">
        <v>0</v>
      </c>
    </row>
    <row r="489" spans="1:8" x14ac:dyDescent="0.3">
      <c r="A489">
        <f t="shared" si="7"/>
        <v>488</v>
      </c>
      <c r="B489">
        <v>3</v>
      </c>
      <c r="C489">
        <v>40</v>
      </c>
      <c r="D489">
        <v>10</v>
      </c>
      <c r="E489">
        <v>20</v>
      </c>
      <c r="F489">
        <v>10.644299999999999</v>
      </c>
      <c r="G489">
        <v>4.7930000000000001</v>
      </c>
      <c r="H489">
        <v>0</v>
      </c>
    </row>
    <row r="490" spans="1:8" x14ac:dyDescent="0.3">
      <c r="A490">
        <f t="shared" si="7"/>
        <v>489</v>
      </c>
      <c r="B490">
        <v>3</v>
      </c>
      <c r="C490">
        <v>40</v>
      </c>
      <c r="D490">
        <v>10</v>
      </c>
      <c r="E490">
        <v>30</v>
      </c>
      <c r="F490">
        <v>16.566500000000001</v>
      </c>
      <c r="G490">
        <v>10.118</v>
      </c>
      <c r="H490">
        <v>0</v>
      </c>
    </row>
    <row r="491" spans="1:8" x14ac:dyDescent="0.3">
      <c r="A491">
        <f t="shared" si="7"/>
        <v>490</v>
      </c>
      <c r="B491">
        <v>3</v>
      </c>
      <c r="C491">
        <v>40</v>
      </c>
      <c r="D491">
        <v>10</v>
      </c>
      <c r="E491">
        <v>40</v>
      </c>
      <c r="F491">
        <v>27.759399999999999</v>
      </c>
      <c r="G491">
        <v>23.821999999999999</v>
      </c>
      <c r="H491">
        <v>0</v>
      </c>
    </row>
    <row r="492" spans="1:8" x14ac:dyDescent="0.3">
      <c r="A492">
        <f t="shared" si="7"/>
        <v>491</v>
      </c>
      <c r="B492">
        <v>3</v>
      </c>
      <c r="C492">
        <v>40</v>
      </c>
      <c r="D492">
        <v>15</v>
      </c>
      <c r="E492">
        <v>0</v>
      </c>
      <c r="F492">
        <v>3.3201000000000001</v>
      </c>
      <c r="G492">
        <v>0.47199999999999998</v>
      </c>
      <c r="H492">
        <v>0</v>
      </c>
    </row>
    <row r="493" spans="1:8" x14ac:dyDescent="0.3">
      <c r="A493">
        <f t="shared" si="7"/>
        <v>492</v>
      </c>
      <c r="B493">
        <v>3</v>
      </c>
      <c r="C493">
        <v>40</v>
      </c>
      <c r="D493">
        <v>15</v>
      </c>
      <c r="E493">
        <v>10</v>
      </c>
      <c r="F493">
        <v>5.2793999999999999</v>
      </c>
      <c r="G493">
        <v>1.387</v>
      </c>
      <c r="H493">
        <v>0</v>
      </c>
    </row>
    <row r="494" spans="1:8" x14ac:dyDescent="0.3">
      <c r="A494">
        <f t="shared" si="7"/>
        <v>493</v>
      </c>
      <c r="B494">
        <v>3</v>
      </c>
      <c r="C494">
        <v>40</v>
      </c>
      <c r="D494">
        <v>15</v>
      </c>
      <c r="E494">
        <v>20</v>
      </c>
      <c r="F494">
        <v>9.0048999999999992</v>
      </c>
      <c r="G494">
        <v>3.5569999999999999</v>
      </c>
      <c r="H494">
        <v>0</v>
      </c>
    </row>
    <row r="495" spans="1:8" x14ac:dyDescent="0.3">
      <c r="A495">
        <f t="shared" si="7"/>
        <v>494</v>
      </c>
      <c r="B495">
        <v>3</v>
      </c>
      <c r="C495">
        <v>40</v>
      </c>
      <c r="D495">
        <v>15</v>
      </c>
      <c r="E495">
        <v>30</v>
      </c>
      <c r="F495">
        <v>14.3682</v>
      </c>
      <c r="G495">
        <v>9.1210000000000004</v>
      </c>
      <c r="H495">
        <v>0</v>
      </c>
    </row>
    <row r="496" spans="1:8" x14ac:dyDescent="0.3">
      <c r="A496">
        <f t="shared" si="7"/>
        <v>495</v>
      </c>
      <c r="B496">
        <v>3</v>
      </c>
      <c r="C496">
        <v>40</v>
      </c>
      <c r="D496">
        <v>15</v>
      </c>
      <c r="E496">
        <v>40</v>
      </c>
      <c r="F496">
        <v>23.2804</v>
      </c>
      <c r="G496">
        <v>20.297999999999998</v>
      </c>
      <c r="H496">
        <v>0</v>
      </c>
    </row>
    <row r="497" spans="1:8" x14ac:dyDescent="0.3">
      <c r="A497">
        <f t="shared" si="7"/>
        <v>496</v>
      </c>
      <c r="B497">
        <v>3</v>
      </c>
      <c r="C497">
        <v>40</v>
      </c>
      <c r="D497">
        <v>20</v>
      </c>
      <c r="E497">
        <v>0</v>
      </c>
      <c r="F497">
        <v>2.7012999999999998</v>
      </c>
      <c r="G497">
        <v>0.16</v>
      </c>
      <c r="H497">
        <v>0</v>
      </c>
    </row>
    <row r="498" spans="1:8" x14ac:dyDescent="0.3">
      <c r="A498">
        <f t="shared" si="7"/>
        <v>497</v>
      </c>
      <c r="B498">
        <v>3</v>
      </c>
      <c r="C498">
        <v>40</v>
      </c>
      <c r="D498">
        <v>20</v>
      </c>
      <c r="E498">
        <v>10</v>
      </c>
      <c r="F498">
        <v>4.3093000000000004</v>
      </c>
      <c r="G498">
        <v>0.78900000000000003</v>
      </c>
      <c r="H498">
        <v>0</v>
      </c>
    </row>
    <row r="499" spans="1:8" x14ac:dyDescent="0.3">
      <c r="A499">
        <f t="shared" si="7"/>
        <v>498</v>
      </c>
      <c r="B499">
        <v>3</v>
      </c>
      <c r="C499">
        <v>40</v>
      </c>
      <c r="D499">
        <v>20</v>
      </c>
      <c r="E499">
        <v>20</v>
      </c>
      <c r="F499">
        <v>7.2687999999999997</v>
      </c>
      <c r="G499">
        <v>2.948</v>
      </c>
      <c r="H499">
        <v>0</v>
      </c>
    </row>
    <row r="500" spans="1:8" x14ac:dyDescent="0.3">
      <c r="A500">
        <f t="shared" si="7"/>
        <v>499</v>
      </c>
      <c r="B500">
        <v>3</v>
      </c>
      <c r="C500">
        <v>40</v>
      </c>
      <c r="D500">
        <v>20</v>
      </c>
      <c r="E500">
        <v>30</v>
      </c>
      <c r="F500">
        <v>12.3329</v>
      </c>
      <c r="G500">
        <v>7.6230000000000002</v>
      </c>
      <c r="H500">
        <v>0</v>
      </c>
    </row>
    <row r="501" spans="1:8" x14ac:dyDescent="0.3">
      <c r="A501">
        <f t="shared" si="7"/>
        <v>500</v>
      </c>
      <c r="B501">
        <v>3</v>
      </c>
      <c r="C501">
        <v>40</v>
      </c>
      <c r="D501">
        <v>20</v>
      </c>
      <c r="E501">
        <v>40</v>
      </c>
      <c r="F501">
        <v>19.468299999999999</v>
      </c>
      <c r="G501">
        <v>16.279</v>
      </c>
      <c r="H5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SB=0</vt:lpstr>
      <vt:lpstr>SB=1</vt:lpstr>
      <vt:lpstr>SB=2</vt:lpstr>
      <vt:lpstr>SB=3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Kumar</dc:creator>
  <cp:lastModifiedBy>Dhanraj Kumar</cp:lastModifiedBy>
  <dcterms:created xsi:type="dcterms:W3CDTF">2023-08-24T04:57:56Z</dcterms:created>
  <dcterms:modified xsi:type="dcterms:W3CDTF">2023-10-29T12:14:04Z</dcterms:modified>
</cp:coreProperties>
</file>